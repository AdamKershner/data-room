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1_{09292319-35A4-496A-820A-E1192B686A6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 IS" sheetId="17" r:id="rId1"/>
    <sheet name="Revenue_T" sheetId="7" r:id="rId2"/>
    <sheet name="Revenue_B" sheetId="12" r:id="rId3"/>
    <sheet name="Marketing Plan" sheetId="18" r:id="rId4"/>
    <sheet name="Comparable Companies" sheetId="8" r:id="rId5"/>
    <sheet name="Expenses_Y" sheetId="15" r:id="rId6"/>
    <sheet name="Assumptions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7" l="1"/>
  <c r="H67" i="15"/>
  <c r="I67" i="15" s="1"/>
  <c r="G67" i="15"/>
  <c r="G38" i="15" s="1"/>
  <c r="G42" i="15" s="1"/>
  <c r="G8" i="15" s="1"/>
  <c r="F67" i="15"/>
  <c r="F38" i="15" s="1"/>
  <c r="F42" i="15" s="1"/>
  <c r="F8" i="15" s="1"/>
  <c r="F66" i="15"/>
  <c r="C40" i="15"/>
  <c r="C39" i="15"/>
  <c r="C38" i="15"/>
  <c r="D75" i="15"/>
  <c r="E75" i="15"/>
  <c r="C75" i="15"/>
  <c r="D39" i="15"/>
  <c r="D40" i="15"/>
  <c r="K14" i="17"/>
  <c r="J14" i="17"/>
  <c r="I14" i="17"/>
  <c r="H14" i="17"/>
  <c r="G14" i="17"/>
  <c r="F14" i="17"/>
  <c r="E14" i="17"/>
  <c r="D14" i="17"/>
  <c r="C14" i="17"/>
  <c r="K7" i="17"/>
  <c r="J7" i="17"/>
  <c r="I7" i="17"/>
  <c r="H7" i="17"/>
  <c r="G7" i="17"/>
  <c r="F7" i="17"/>
  <c r="E7" i="17"/>
  <c r="D7" i="17"/>
  <c r="C7" i="17"/>
  <c r="N5" i="17"/>
  <c r="I19" i="16"/>
  <c r="F19" i="16"/>
  <c r="E19" i="16"/>
  <c r="I18" i="16"/>
  <c r="F18" i="16"/>
  <c r="E18" i="16"/>
  <c r="I17" i="16"/>
  <c r="F17" i="16"/>
  <c r="E17" i="16"/>
  <c r="I16" i="16"/>
  <c r="F16" i="16"/>
  <c r="E16" i="16"/>
  <c r="G15" i="16"/>
  <c r="F15" i="16"/>
  <c r="E15" i="16"/>
  <c r="H75" i="15"/>
  <c r="G75" i="15"/>
  <c r="F75" i="15"/>
  <c r="K62" i="15"/>
  <c r="J62" i="15"/>
  <c r="I62" i="15"/>
  <c r="H62" i="15"/>
  <c r="G62" i="15"/>
  <c r="F62" i="15"/>
  <c r="E62" i="15"/>
  <c r="D62" i="15"/>
  <c r="C62" i="15"/>
  <c r="K57" i="15"/>
  <c r="J57" i="15"/>
  <c r="I57" i="15"/>
  <c r="H57" i="15"/>
  <c r="G57" i="15"/>
  <c r="F57" i="15"/>
  <c r="E57" i="15"/>
  <c r="D57" i="15"/>
  <c r="C57" i="15"/>
  <c r="K49" i="15"/>
  <c r="J49" i="15"/>
  <c r="I49" i="15"/>
  <c r="H49" i="15"/>
  <c r="G49" i="15"/>
  <c r="F49" i="15"/>
  <c r="E49" i="15"/>
  <c r="D49" i="15"/>
  <c r="C49" i="15"/>
  <c r="K40" i="15"/>
  <c r="J40" i="15"/>
  <c r="I40" i="15"/>
  <c r="H40" i="15"/>
  <c r="G40" i="15"/>
  <c r="F40" i="15"/>
  <c r="E40" i="15"/>
  <c r="K39" i="15"/>
  <c r="J39" i="15"/>
  <c r="I39" i="15"/>
  <c r="H39" i="15"/>
  <c r="G39" i="15"/>
  <c r="F39" i="15"/>
  <c r="E39" i="15"/>
  <c r="H38" i="15"/>
  <c r="H42" i="15" s="1"/>
  <c r="H8" i="15" s="1"/>
  <c r="E38" i="15"/>
  <c r="F30" i="15"/>
  <c r="E30" i="15"/>
  <c r="D30" i="15"/>
  <c r="C30" i="15"/>
  <c r="F27" i="15"/>
  <c r="E27" i="15"/>
  <c r="D27" i="15"/>
  <c r="C27" i="15"/>
  <c r="F24" i="15"/>
  <c r="E24" i="15"/>
  <c r="D24" i="15"/>
  <c r="C24" i="15"/>
  <c r="F21" i="15"/>
  <c r="F31" i="15" s="1"/>
  <c r="E21" i="15"/>
  <c r="E31" i="15" s="1"/>
  <c r="D21" i="15"/>
  <c r="D31" i="15" s="1"/>
  <c r="C21" i="15"/>
  <c r="C31" i="15" s="1"/>
  <c r="K11" i="15"/>
  <c r="J11" i="15"/>
  <c r="I11" i="15"/>
  <c r="H11" i="15"/>
  <c r="G11" i="15"/>
  <c r="F11" i="15"/>
  <c r="E11" i="15"/>
  <c r="D11" i="15"/>
  <c r="C11" i="15"/>
  <c r="K10" i="15"/>
  <c r="J10" i="15"/>
  <c r="I10" i="15"/>
  <c r="H10" i="15"/>
  <c r="G10" i="15"/>
  <c r="F10" i="15"/>
  <c r="E10" i="15"/>
  <c r="D10" i="15"/>
  <c r="C10" i="15"/>
  <c r="K9" i="15"/>
  <c r="J9" i="15"/>
  <c r="I9" i="15"/>
  <c r="H9" i="15"/>
  <c r="G9" i="15"/>
  <c r="F9" i="15"/>
  <c r="E9" i="15"/>
  <c r="D9" i="15"/>
  <c r="C9" i="15"/>
  <c r="F53" i="12"/>
  <c r="E53" i="12"/>
  <c r="D53" i="12"/>
  <c r="C53" i="12"/>
  <c r="F51" i="12"/>
  <c r="E51" i="12"/>
  <c r="D51" i="12"/>
  <c r="C51" i="12"/>
  <c r="E48" i="12"/>
  <c r="D48" i="12"/>
  <c r="F46" i="12"/>
  <c r="E46" i="12"/>
  <c r="D46" i="12"/>
  <c r="C46" i="12"/>
  <c r="F42" i="12"/>
  <c r="E42" i="12"/>
  <c r="D42" i="12"/>
  <c r="C42" i="12"/>
  <c r="F38" i="12"/>
  <c r="E38" i="12"/>
  <c r="E10" i="12" s="1"/>
  <c r="D38" i="12"/>
  <c r="D10" i="12" s="1"/>
  <c r="C38" i="12"/>
  <c r="C10" i="12" s="1"/>
  <c r="E35" i="12"/>
  <c r="D35" i="12"/>
  <c r="K32" i="12"/>
  <c r="J32" i="12"/>
  <c r="I32" i="12"/>
  <c r="H32" i="12"/>
  <c r="G32" i="12"/>
  <c r="F32" i="12"/>
  <c r="E32" i="12"/>
  <c r="D32" i="12"/>
  <c r="C32" i="12"/>
  <c r="C30" i="12"/>
  <c r="G28" i="12"/>
  <c r="G30" i="12" s="1"/>
  <c r="G33" i="12" s="1"/>
  <c r="F28" i="12"/>
  <c r="F30" i="12" s="1"/>
  <c r="E28" i="12"/>
  <c r="E30" i="12" s="1"/>
  <c r="D28" i="12"/>
  <c r="D30" i="12" s="1"/>
  <c r="F24" i="12"/>
  <c r="G22" i="12" s="1"/>
  <c r="G24" i="12" s="1"/>
  <c r="E24" i="12"/>
  <c r="G16" i="12"/>
  <c r="F16" i="12"/>
  <c r="E16" i="12"/>
  <c r="D16" i="12"/>
  <c r="C16" i="12"/>
  <c r="F15" i="12"/>
  <c r="E15" i="12"/>
  <c r="D15" i="12"/>
  <c r="C15" i="12"/>
  <c r="K14" i="12"/>
  <c r="J14" i="12"/>
  <c r="I14" i="12"/>
  <c r="H14" i="12"/>
  <c r="G14" i="12"/>
  <c r="F14" i="12"/>
  <c r="E14" i="12"/>
  <c r="D14" i="12"/>
  <c r="C14" i="12"/>
  <c r="F13" i="12"/>
  <c r="E13" i="12"/>
  <c r="D13" i="12"/>
  <c r="C13" i="12"/>
  <c r="K12" i="12"/>
  <c r="J12" i="12"/>
  <c r="I12" i="12"/>
  <c r="H12" i="12"/>
  <c r="G12" i="12"/>
  <c r="F12" i="12"/>
  <c r="E12" i="12"/>
  <c r="D12" i="12"/>
  <c r="C12" i="12"/>
  <c r="F11" i="12"/>
  <c r="E11" i="12"/>
  <c r="D11" i="12"/>
  <c r="C11" i="12"/>
  <c r="K10" i="12"/>
  <c r="J10" i="12"/>
  <c r="I10" i="12"/>
  <c r="H10" i="12"/>
  <c r="G10" i="12"/>
  <c r="F10" i="12"/>
  <c r="F8" i="12"/>
  <c r="E8" i="12"/>
  <c r="D8" i="12"/>
  <c r="C8" i="12"/>
  <c r="B24" i="7"/>
  <c r="B19" i="7"/>
  <c r="B17" i="7"/>
  <c r="E1" i="7" l="1"/>
  <c r="D1" i="7"/>
  <c r="F1" i="7"/>
  <c r="B23" i="7"/>
  <c r="H1" i="7"/>
  <c r="G1" i="7"/>
  <c r="J1" i="7"/>
  <c r="I1" i="7"/>
  <c r="L1" i="7"/>
  <c r="K1" i="7"/>
  <c r="N1" i="7"/>
  <c r="N9" i="7" s="1"/>
  <c r="M1" i="7"/>
  <c r="O1" i="7"/>
  <c r="P1" i="7"/>
  <c r="R1" i="7"/>
  <c r="Q1" i="7"/>
  <c r="C7" i="7"/>
  <c r="E7" i="7"/>
  <c r="D7" i="7"/>
  <c r="G7" i="7"/>
  <c r="F7" i="7"/>
  <c r="H7" i="7"/>
  <c r="J67" i="15"/>
  <c r="I38" i="15"/>
  <c r="I42" i="15" s="1"/>
  <c r="I8" i="15" s="1"/>
  <c r="I75" i="15"/>
  <c r="E42" i="15"/>
  <c r="E8" i="15" s="1"/>
  <c r="C42" i="15"/>
  <c r="C8" i="15" s="1"/>
  <c r="D38" i="15"/>
  <c r="D42" i="15" s="1"/>
  <c r="D8" i="15" s="1"/>
  <c r="K25" i="17"/>
  <c r="K23" i="17"/>
  <c r="K20" i="17"/>
  <c r="K21" i="17"/>
  <c r="K16" i="17"/>
  <c r="K17" i="17" s="1"/>
  <c r="K22" i="17"/>
  <c r="K15" i="17"/>
  <c r="K19" i="17"/>
  <c r="J15" i="17"/>
  <c r="J23" i="17"/>
  <c r="J22" i="17"/>
  <c r="J21" i="17"/>
  <c r="J19" i="17"/>
  <c r="J16" i="17"/>
  <c r="J17" i="17" s="1"/>
  <c r="J20" i="17"/>
  <c r="J25" i="17"/>
  <c r="I25" i="17"/>
  <c r="I23" i="17"/>
  <c r="I16" i="17"/>
  <c r="I17" i="17" s="1"/>
  <c r="I20" i="17"/>
  <c r="I22" i="17"/>
  <c r="I21" i="17"/>
  <c r="I15" i="17"/>
  <c r="I19" i="17"/>
  <c r="H15" i="17"/>
  <c r="H25" i="17"/>
  <c r="H20" i="17"/>
  <c r="H19" i="17"/>
  <c r="H22" i="17"/>
  <c r="H16" i="17"/>
  <c r="H17" i="17" s="1"/>
  <c r="H21" i="17"/>
  <c r="H23" i="17"/>
  <c r="G19" i="17"/>
  <c r="G21" i="17"/>
  <c r="G20" i="17"/>
  <c r="G22" i="17"/>
  <c r="G23" i="17"/>
  <c r="G25" i="17"/>
  <c r="G15" i="17"/>
  <c r="G16" i="17"/>
  <c r="G17" i="17" s="1"/>
  <c r="F15" i="17"/>
  <c r="F16" i="17" s="1"/>
  <c r="F21" i="17"/>
  <c r="F22" i="17"/>
  <c r="F20" i="17"/>
  <c r="F19" i="17"/>
  <c r="F23" i="17" s="1"/>
  <c r="E21" i="17"/>
  <c r="E15" i="17"/>
  <c r="E16" i="17" s="1"/>
  <c r="E19" i="17"/>
  <c r="E23" i="17" s="1"/>
  <c r="E20" i="17"/>
  <c r="E22" i="17"/>
  <c r="D19" i="17"/>
  <c r="D23" i="17" s="1"/>
  <c r="D20" i="17"/>
  <c r="D22" i="17"/>
  <c r="D21" i="17"/>
  <c r="D15" i="17"/>
  <c r="D16" i="17" s="1"/>
  <c r="C20" i="17"/>
  <c r="C21" i="17"/>
  <c r="C22" i="17"/>
  <c r="C19" i="17"/>
  <c r="C23" i="17" s="1"/>
  <c r="C15" i="17"/>
  <c r="C16" i="17" s="1"/>
  <c r="J7" i="7"/>
  <c r="I7" i="7"/>
  <c r="L7" i="7"/>
  <c r="K7" i="7"/>
  <c r="O7" i="7"/>
  <c r="N7" i="7"/>
  <c r="M7" i="7"/>
  <c r="G16" i="16"/>
  <c r="H15" i="16"/>
  <c r="F33" i="15"/>
  <c r="F34" i="15"/>
  <c r="F7" i="15" s="1"/>
  <c r="F12" i="15" s="1"/>
  <c r="E33" i="15"/>
  <c r="E34" i="15"/>
  <c r="E7" i="15" s="1"/>
  <c r="E12" i="15" s="1"/>
  <c r="D33" i="15"/>
  <c r="D34" i="15" s="1"/>
  <c r="D7" i="15" s="1"/>
  <c r="C33" i="15"/>
  <c r="C34" i="15"/>
  <c r="C7" i="15" s="1"/>
  <c r="G34" i="12"/>
  <c r="G9" i="12" s="1"/>
  <c r="G39" i="12"/>
  <c r="G8" i="12"/>
  <c r="H28" i="12"/>
  <c r="H30" i="12" s="1"/>
  <c r="H33" i="12" s="1"/>
  <c r="F34" i="12"/>
  <c r="F9" i="12" s="1"/>
  <c r="F7" i="12"/>
  <c r="E34" i="12"/>
  <c r="E9" i="12" s="1"/>
  <c r="E7" i="12"/>
  <c r="E25" i="12"/>
  <c r="D34" i="12"/>
  <c r="D9" i="12" s="1"/>
  <c r="D7" i="12"/>
  <c r="C34" i="12"/>
  <c r="C9" i="12" s="1"/>
  <c r="C7" i="12"/>
  <c r="G7" i="12"/>
  <c r="H22" i="12"/>
  <c r="H24" i="12" s="1"/>
  <c r="P7" i="7"/>
  <c r="Q7" i="7"/>
  <c r="B25" i="7"/>
  <c r="R7" i="7"/>
  <c r="B18" i="7"/>
  <c r="B21" i="7" s="1"/>
  <c r="C9" i="7"/>
  <c r="E8" i="7" l="1"/>
  <c r="E2" i="7"/>
  <c r="E9" i="7"/>
  <c r="E10" i="7" s="1"/>
  <c r="D8" i="7"/>
  <c r="D9" i="7"/>
  <c r="D10" i="7" s="1"/>
  <c r="D2" i="7"/>
  <c r="F8" i="7"/>
  <c r="F9" i="7"/>
  <c r="F10" i="7" s="1"/>
  <c r="F2" i="7"/>
  <c r="H8" i="7"/>
  <c r="H9" i="7"/>
  <c r="H10" i="7" s="1"/>
  <c r="H2" i="7"/>
  <c r="G9" i="7"/>
  <c r="G10" i="7" s="1"/>
  <c r="G8" i="7"/>
  <c r="G2" i="7"/>
  <c r="J9" i="7"/>
  <c r="J10" i="7" s="1"/>
  <c r="J2" i="7"/>
  <c r="J8" i="7"/>
  <c r="I9" i="7"/>
  <c r="I10" i="7" s="1"/>
  <c r="I2" i="7"/>
  <c r="I8" i="7"/>
  <c r="L8" i="7"/>
  <c r="L9" i="7"/>
  <c r="L10" i="7" s="1"/>
  <c r="L2" i="7"/>
  <c r="K2" i="7"/>
  <c r="K8" i="7"/>
  <c r="K9" i="7"/>
  <c r="K10" i="7" s="1"/>
  <c r="M9" i="7"/>
  <c r="M10" i="7" s="1"/>
  <c r="M8" i="7"/>
  <c r="M2" i="7"/>
  <c r="N2" i="7"/>
  <c r="N8" i="7"/>
  <c r="O8" i="7"/>
  <c r="O2" i="7"/>
  <c r="O9" i="7"/>
  <c r="O10" i="7" s="1"/>
  <c r="P9" i="7"/>
  <c r="P8" i="7"/>
  <c r="P10" i="7"/>
  <c r="P2" i="7"/>
  <c r="R2" i="7"/>
  <c r="R11" i="7"/>
  <c r="R9" i="7"/>
  <c r="R10" i="7" s="1"/>
  <c r="R12" i="7" s="1"/>
  <c r="R8" i="7"/>
  <c r="Q8" i="7"/>
  <c r="Q9" i="7"/>
  <c r="Q10" i="7" s="1"/>
  <c r="Q2" i="7"/>
  <c r="C10" i="7"/>
  <c r="K67" i="15"/>
  <c r="J75" i="15"/>
  <c r="J38" i="15"/>
  <c r="J42" i="15" s="1"/>
  <c r="J8" i="15" s="1"/>
  <c r="C12" i="15"/>
  <c r="D12" i="15"/>
  <c r="K28" i="17"/>
  <c r="K26" i="17"/>
  <c r="J26" i="17"/>
  <c r="J28" i="17"/>
  <c r="I26" i="17"/>
  <c r="I28" i="17"/>
  <c r="H28" i="17"/>
  <c r="H26" i="17"/>
  <c r="G26" i="17"/>
  <c r="G28" i="17"/>
  <c r="F25" i="17"/>
  <c r="F17" i="17"/>
  <c r="E25" i="17"/>
  <c r="E17" i="17"/>
  <c r="D25" i="17"/>
  <c r="D17" i="17"/>
  <c r="C25" i="17"/>
  <c r="C17" i="17"/>
  <c r="N10" i="7"/>
  <c r="H16" i="16"/>
  <c r="G17" i="16"/>
  <c r="F35" i="16"/>
  <c r="B35" i="16"/>
  <c r="E28" i="16"/>
  <c r="B28" i="16"/>
  <c r="G35" i="16"/>
  <c r="C35" i="16"/>
  <c r="F28" i="16"/>
  <c r="C28" i="16"/>
  <c r="E35" i="16"/>
  <c r="D35" i="16"/>
  <c r="G28" i="16"/>
  <c r="D28" i="16"/>
  <c r="G43" i="12"/>
  <c r="G11" i="12"/>
  <c r="G52" i="12"/>
  <c r="H34" i="12"/>
  <c r="H9" i="12" s="1"/>
  <c r="H35" i="12"/>
  <c r="H39" i="12"/>
  <c r="H8" i="12"/>
  <c r="I28" i="12"/>
  <c r="I30" i="12" s="1"/>
  <c r="I33" i="12" s="1"/>
  <c r="H25" i="12"/>
  <c r="H7" i="12"/>
  <c r="I22" i="12"/>
  <c r="I24" i="12" s="1"/>
  <c r="C11" i="7"/>
  <c r="C12" i="7" l="1"/>
  <c r="K75" i="15"/>
  <c r="K38" i="15"/>
  <c r="K42" i="15" s="1"/>
  <c r="K8" i="15" s="1"/>
  <c r="E13" i="15"/>
  <c r="D13" i="15"/>
  <c r="K29" i="17"/>
  <c r="K30" i="17"/>
  <c r="K31" i="17" s="1"/>
  <c r="J30" i="17"/>
  <c r="J31" i="17" s="1"/>
  <c r="J29" i="17"/>
  <c r="I29" i="17"/>
  <c r="I30" i="17"/>
  <c r="I31" i="17" s="1"/>
  <c r="H29" i="17"/>
  <c r="H30" i="17"/>
  <c r="H31" i="17" s="1"/>
  <c r="G29" i="17"/>
  <c r="G30" i="17"/>
  <c r="G31" i="17" s="1"/>
  <c r="F28" i="17"/>
  <c r="F26" i="17"/>
  <c r="E26" i="17"/>
  <c r="E28" i="17"/>
  <c r="D26" i="17"/>
  <c r="D28" i="17"/>
  <c r="C26" i="17"/>
  <c r="C28" i="17"/>
  <c r="H17" i="16"/>
  <c r="G18" i="16"/>
  <c r="D30" i="16"/>
  <c r="H28" i="15" s="1"/>
  <c r="E30" i="16"/>
  <c r="I28" i="15" s="1"/>
  <c r="F30" i="16"/>
  <c r="J28" i="15" s="1"/>
  <c r="J20" i="15"/>
  <c r="I19" i="15"/>
  <c r="I21" i="15" s="1"/>
  <c r="K20" i="15"/>
  <c r="G20" i="15"/>
  <c r="J19" i="15"/>
  <c r="J21" i="15" s="1"/>
  <c r="G19" i="15"/>
  <c r="G21" i="15" s="1"/>
  <c r="I20" i="15"/>
  <c r="H20" i="15"/>
  <c r="K19" i="15"/>
  <c r="K21" i="15" s="1"/>
  <c r="H19" i="15"/>
  <c r="H21" i="15" s="1"/>
  <c r="G53" i="12"/>
  <c r="G47" i="12"/>
  <c r="G15" i="12" s="1"/>
  <c r="G13" i="12"/>
  <c r="H43" i="12"/>
  <c r="H52" i="12"/>
  <c r="H11" i="12"/>
  <c r="I34" i="12"/>
  <c r="I9" i="12" s="1"/>
  <c r="I35" i="12"/>
  <c r="I39" i="12"/>
  <c r="I8" i="12"/>
  <c r="J28" i="12"/>
  <c r="J30" i="12" s="1"/>
  <c r="J33" i="12" s="1"/>
  <c r="I25" i="12"/>
  <c r="I7" i="12"/>
  <c r="J22" i="12"/>
  <c r="J24" i="12" s="1"/>
  <c r="P11" i="7"/>
  <c r="P12" i="7" s="1"/>
  <c r="Q11" i="7"/>
  <c r="Q12" i="7" s="1"/>
  <c r="N11" i="7"/>
  <c r="N12" i="7" s="1"/>
  <c r="O11" i="7"/>
  <c r="O12" i="7" s="1"/>
  <c r="O13" i="7" s="1"/>
  <c r="D11" i="7"/>
  <c r="D12" i="7" s="1"/>
  <c r="M11" i="7"/>
  <c r="M12" i="7" s="1"/>
  <c r="E11" i="7"/>
  <c r="E12" i="7" s="1"/>
  <c r="F11" i="7"/>
  <c r="F12" i="7" s="1"/>
  <c r="L11" i="7"/>
  <c r="L12" i="7" s="1"/>
  <c r="I11" i="7"/>
  <c r="I12" i="7" s="1"/>
  <c r="H11" i="7"/>
  <c r="H12" i="7" s="1"/>
  <c r="G11" i="7"/>
  <c r="G12" i="7" s="1"/>
  <c r="K11" i="7"/>
  <c r="K12" i="7" s="1"/>
  <c r="J11" i="7"/>
  <c r="J12" i="7" s="1"/>
  <c r="Q13" i="7"/>
  <c r="R13" i="7"/>
  <c r="P13" i="7" l="1"/>
  <c r="B30" i="16"/>
  <c r="C30" i="16"/>
  <c r="G28" i="15" s="1"/>
  <c r="D13" i="7"/>
  <c r="G35" i="17"/>
  <c r="G8" i="17"/>
  <c r="H35" i="17"/>
  <c r="H8" i="17"/>
  <c r="I35" i="17"/>
  <c r="I8" i="17"/>
  <c r="K35" i="17"/>
  <c r="K8" i="17"/>
  <c r="J35" i="17"/>
  <c r="J8" i="17"/>
  <c r="F29" i="17"/>
  <c r="F30" i="17" s="1"/>
  <c r="F31" i="17" s="1"/>
  <c r="E29" i="17"/>
  <c r="E30" i="17" s="1"/>
  <c r="E31" i="17" s="1"/>
  <c r="D29" i="17"/>
  <c r="D30" i="17" s="1"/>
  <c r="D31" i="17" s="1"/>
  <c r="C29" i="17"/>
  <c r="C30" i="17" s="1"/>
  <c r="C31" i="17" s="1"/>
  <c r="H18" i="16"/>
  <c r="G19" i="16"/>
  <c r="G30" i="16"/>
  <c r="K28" i="15" s="1"/>
  <c r="K30" i="15" s="1"/>
  <c r="B37" i="16"/>
  <c r="C37" i="16"/>
  <c r="G29" i="15" s="1"/>
  <c r="G30" i="15" s="1"/>
  <c r="D37" i="16"/>
  <c r="H29" i="15" s="1"/>
  <c r="H30" i="15" s="1"/>
  <c r="E37" i="16"/>
  <c r="I29" i="15" s="1"/>
  <c r="I30" i="15" s="1"/>
  <c r="F37" i="16"/>
  <c r="J29" i="15" s="1"/>
  <c r="J30" i="15" s="1"/>
  <c r="G37" i="16"/>
  <c r="K29" i="15" s="1"/>
  <c r="H53" i="12"/>
  <c r="H47" i="12"/>
  <c r="H13" i="12"/>
  <c r="I43" i="12"/>
  <c r="I11" i="12"/>
  <c r="I52" i="12"/>
  <c r="J34" i="12"/>
  <c r="J9" i="12" s="1"/>
  <c r="J35" i="12"/>
  <c r="J39" i="12"/>
  <c r="J8" i="12"/>
  <c r="K28" i="12"/>
  <c r="K30" i="12" s="1"/>
  <c r="K33" i="12" s="1"/>
  <c r="J25" i="12"/>
  <c r="J7" i="12"/>
  <c r="K22" i="12"/>
  <c r="K24" i="12" s="1"/>
  <c r="N13" i="7"/>
  <c r="E13" i="7"/>
  <c r="F13" i="7"/>
  <c r="J13" i="7"/>
  <c r="I13" i="7"/>
  <c r="K13" i="7"/>
  <c r="L13" i="7"/>
  <c r="M13" i="7"/>
  <c r="G13" i="7"/>
  <c r="H13" i="7"/>
  <c r="G36" i="17" l="1"/>
  <c r="G37" i="17" s="1"/>
  <c r="G38" i="17" s="1"/>
  <c r="G41" i="17"/>
  <c r="G42" i="17"/>
  <c r="G43" i="17"/>
  <c r="G9" i="17"/>
  <c r="G10" i="17"/>
  <c r="H36" i="17"/>
  <c r="H37" i="17" s="1"/>
  <c r="H38" i="17" s="1"/>
  <c r="H43" i="17"/>
  <c r="H42" i="17"/>
  <c r="H41" i="17"/>
  <c r="H9" i="17"/>
  <c r="H10" i="17"/>
  <c r="I43" i="17"/>
  <c r="I36" i="17"/>
  <c r="I37" i="17" s="1"/>
  <c r="I38" i="17" s="1"/>
  <c r="I41" i="17"/>
  <c r="I42" i="17"/>
  <c r="I9" i="17"/>
  <c r="I10" i="17"/>
  <c r="K36" i="17"/>
  <c r="K37" i="17" s="1"/>
  <c r="K38" i="17" s="1"/>
  <c r="K43" i="17"/>
  <c r="K41" i="17"/>
  <c r="K42" i="17"/>
  <c r="K9" i="17"/>
  <c r="K10" i="17"/>
  <c r="J42" i="17"/>
  <c r="J36" i="17"/>
  <c r="J37" i="17" s="1"/>
  <c r="J38" i="17" s="1"/>
  <c r="J41" i="17"/>
  <c r="J43" i="17"/>
  <c r="J9" i="17"/>
  <c r="J10" i="17"/>
  <c r="C36" i="16"/>
  <c r="G36" i="16"/>
  <c r="F29" i="16"/>
  <c r="E29" i="16"/>
  <c r="B29" i="16"/>
  <c r="D29" i="16"/>
  <c r="D36" i="16"/>
  <c r="E36" i="16"/>
  <c r="C29" i="16"/>
  <c r="B36" i="16"/>
  <c r="F36" i="16"/>
  <c r="G29" i="16"/>
  <c r="H19" i="16"/>
  <c r="F31" i="16"/>
  <c r="G31" i="16"/>
  <c r="I22" i="15"/>
  <c r="I24" i="15" s="1"/>
  <c r="G23" i="15"/>
  <c r="H23" i="15"/>
  <c r="I23" i="15"/>
  <c r="J23" i="15"/>
  <c r="K23" i="15"/>
  <c r="G22" i="15"/>
  <c r="G24" i="15" s="1"/>
  <c r="H22" i="15"/>
  <c r="H24" i="15" s="1"/>
  <c r="J22" i="15"/>
  <c r="J24" i="15" s="1"/>
  <c r="K22" i="15"/>
  <c r="K24" i="15" s="1"/>
  <c r="H15" i="12"/>
  <c r="H48" i="12"/>
  <c r="H16" i="12" s="1"/>
  <c r="I53" i="12"/>
  <c r="I13" i="12"/>
  <c r="I47" i="12"/>
  <c r="J43" i="12"/>
  <c r="J11" i="12"/>
  <c r="J52" i="12"/>
  <c r="K34" i="12"/>
  <c r="K9" i="12" s="1"/>
  <c r="K39" i="12"/>
  <c r="K35" i="12"/>
  <c r="K8" i="12"/>
  <c r="K25" i="12"/>
  <c r="K7" i="12"/>
  <c r="D31" i="16" l="1"/>
  <c r="E31" i="16"/>
  <c r="B31" i="16"/>
  <c r="B32" i="16" s="1"/>
  <c r="C31" i="16"/>
  <c r="D42" i="16"/>
  <c r="B42" i="16"/>
  <c r="G42" i="16"/>
  <c r="C42" i="16"/>
  <c r="E42" i="16"/>
  <c r="F42" i="16"/>
  <c r="B38" i="16"/>
  <c r="B39" i="16" s="1"/>
  <c r="C38" i="16"/>
  <c r="D38" i="16"/>
  <c r="E38" i="16"/>
  <c r="F38" i="16"/>
  <c r="G38" i="16"/>
  <c r="G25" i="15"/>
  <c r="C32" i="16"/>
  <c r="H25" i="15"/>
  <c r="D32" i="16"/>
  <c r="I25" i="15"/>
  <c r="E32" i="16"/>
  <c r="J25" i="15"/>
  <c r="F32" i="16"/>
  <c r="K25" i="15"/>
  <c r="G32" i="16"/>
  <c r="I48" i="12"/>
  <c r="I16" i="12" s="1"/>
  <c r="I15" i="12"/>
  <c r="J47" i="12"/>
  <c r="J13" i="12"/>
  <c r="J53" i="12"/>
  <c r="K52" i="12"/>
  <c r="K43" i="12"/>
  <c r="K11" i="12"/>
  <c r="C39" i="16" l="1"/>
  <c r="G26" i="15"/>
  <c r="G27" i="15" s="1"/>
  <c r="G31" i="15" s="1"/>
  <c r="D39" i="16"/>
  <c r="H26" i="15"/>
  <c r="H27" i="15" s="1"/>
  <c r="H31" i="15" s="1"/>
  <c r="E39" i="16"/>
  <c r="I26" i="15"/>
  <c r="I27" i="15" s="1"/>
  <c r="I31" i="15" s="1"/>
  <c r="F39" i="16"/>
  <c r="J26" i="15"/>
  <c r="J27" i="15" s="1"/>
  <c r="J31" i="15" s="1"/>
  <c r="G39" i="16"/>
  <c r="K26" i="15"/>
  <c r="K27" i="15" s="1"/>
  <c r="K31" i="15" s="1"/>
  <c r="J48" i="12"/>
  <c r="J16" i="12" s="1"/>
  <c r="J15" i="12"/>
  <c r="K47" i="12"/>
  <c r="K53" i="12"/>
  <c r="K13" i="12"/>
  <c r="G33" i="15" l="1"/>
  <c r="G34" i="15" s="1"/>
  <c r="G7" i="15" s="1"/>
  <c r="H33" i="15"/>
  <c r="H34" i="15" s="1"/>
  <c r="H7" i="15" s="1"/>
  <c r="I33" i="15"/>
  <c r="I34" i="15" s="1"/>
  <c r="I7" i="15" s="1"/>
  <c r="J33" i="15"/>
  <c r="J34" i="15" s="1"/>
  <c r="J7" i="15" s="1"/>
  <c r="K33" i="15"/>
  <c r="K34" i="15" s="1"/>
  <c r="K7" i="15" s="1"/>
  <c r="K15" i="12"/>
  <c r="K48" i="12"/>
  <c r="K16" i="12" s="1"/>
  <c r="G12" i="15" l="1"/>
  <c r="G40" i="17"/>
  <c r="G44" i="17" s="1"/>
  <c r="G46" i="17" s="1"/>
  <c r="H12" i="15"/>
  <c r="H40" i="17"/>
  <c r="H44" i="17" s="1"/>
  <c r="H46" i="17" s="1"/>
  <c r="I12" i="15"/>
  <c r="I40" i="17"/>
  <c r="I44" i="17" s="1"/>
  <c r="I46" i="17" s="1"/>
  <c r="J12" i="15"/>
  <c r="J40" i="17"/>
  <c r="J44" i="17" s="1"/>
  <c r="J46" i="17" s="1"/>
  <c r="K12" i="15"/>
  <c r="K40" i="17"/>
  <c r="K44" i="17" s="1"/>
  <c r="K46" i="17" s="1"/>
  <c r="J13" i="15" l="1"/>
  <c r="K13" i="15"/>
  <c r="H13" i="15"/>
  <c r="I13" i="15"/>
  <c r="G47" i="17"/>
  <c r="G49" i="17"/>
  <c r="H47" i="17"/>
  <c r="H49" i="17"/>
  <c r="I47" i="17"/>
  <c r="I49" i="17"/>
  <c r="J47" i="17"/>
  <c r="J49" i="17"/>
  <c r="K49" i="17"/>
  <c r="K47" i="17"/>
  <c r="G50" i="17" l="1"/>
  <c r="G51" i="17" s="1"/>
  <c r="G52" i="17" s="1"/>
  <c r="H50" i="17"/>
  <c r="H51" i="17" s="1"/>
  <c r="H52" i="17" s="1"/>
  <c r="I50" i="17"/>
  <c r="I51" i="17" s="1"/>
  <c r="I52" i="17" s="1"/>
  <c r="J50" i="17"/>
  <c r="J51" i="17" s="1"/>
  <c r="J52" i="17" s="1"/>
  <c r="K50" i="17"/>
  <c r="K51" i="17" s="1"/>
  <c r="K52" i="17" s="1"/>
</calcChain>
</file>

<file path=xl/sharedStrings.xml><?xml version="1.0" encoding="utf-8"?>
<sst xmlns="http://schemas.openxmlformats.org/spreadsheetml/2006/main" count="448" uniqueCount="325">
  <si>
    <t>Actual</t>
  </si>
  <si>
    <t>Forecast</t>
  </si>
  <si>
    <t>Expense Summary</t>
  </si>
  <si>
    <t>GitHub</t>
  </si>
  <si>
    <t>Cursor</t>
  </si>
  <si>
    <t>Heroku</t>
  </si>
  <si>
    <t>Google Cloud</t>
  </si>
  <si>
    <t>Resend</t>
  </si>
  <si>
    <t>General &amp; Administrative</t>
  </si>
  <si>
    <t>Google Workspace</t>
  </si>
  <si>
    <t>Domain Renewal</t>
  </si>
  <si>
    <t>Corporate Tax Filing</t>
  </si>
  <si>
    <t>Sales &amp; Marketing</t>
  </si>
  <si>
    <t>Total Sales &amp; Marketing</t>
  </si>
  <si>
    <t>Chief of Staff</t>
  </si>
  <si>
    <t>Total Transactions</t>
  </si>
  <si>
    <t>Platform Take Rate</t>
  </si>
  <si>
    <t>Platform Revenue</t>
  </si>
  <si>
    <t>2023A</t>
  </si>
  <si>
    <t>2024A</t>
  </si>
  <si>
    <t>2025A</t>
  </si>
  <si>
    <t>2027F</t>
  </si>
  <si>
    <t>2028F</t>
  </si>
  <si>
    <t>2029F</t>
  </si>
  <si>
    <t>2030F</t>
  </si>
  <si>
    <t>2031F</t>
  </si>
  <si>
    <t>Seed Raise Amount</t>
  </si>
  <si>
    <t>Compensation Assumptions</t>
  </si>
  <si>
    <t>Role</t>
  </si>
  <si>
    <t>Average Salary</t>
  </si>
  <si>
    <t>Annual Raise</t>
  </si>
  <si>
    <t>CEO</t>
  </si>
  <si>
    <t>Product Manager</t>
  </si>
  <si>
    <t>Engineer</t>
  </si>
  <si>
    <t>Hiring Priority Plan</t>
  </si>
  <si>
    <t>Priority</t>
  </si>
  <si>
    <t>Minimum Seed Raise</t>
  </si>
  <si>
    <t>Funded?</t>
  </si>
  <si>
    <t>Sequence Check</t>
  </si>
  <si>
    <t>2026 YTD</t>
  </si>
  <si>
    <t>Months in Period</t>
  </si>
  <si>
    <t>Top-Down Revenue Model</t>
  </si>
  <si>
    <t>Annual Top-Down Revenue Forecast</t>
  </si>
  <si>
    <t>Global Market ($bn)</t>
  </si>
  <si>
    <t>Market CAGR</t>
  </si>
  <si>
    <t>Kahana-Relevant Segment %</t>
  </si>
  <si>
    <t>Kahana-Relevant Global Market ($mm)</t>
  </si>
  <si>
    <t>Kahana Market Share</t>
  </si>
  <si>
    <t>Kahana Platform Revenue ($)</t>
  </si>
  <si>
    <t>YoY Platform Revenue Growth %</t>
  </si>
  <si>
    <t>Market Size Build &amp; Key Inputs</t>
  </si>
  <si>
    <t>2026 Global Market ($bn)</t>
  </si>
  <si>
    <t>2026 Kahana-Relevant Global Market ($mm)</t>
  </si>
  <si>
    <t>2026 Kahana Actual Platform Revenue ($mm)</t>
  </si>
  <si>
    <t>2026 Implied Kahana Market Share</t>
  </si>
  <si>
    <t>Required Market Share CAGR</t>
  </si>
  <si>
    <t>Methodology / Sources</t>
  </si>
  <si>
    <t>2026 Kahana-Relevant Global Market = 2026 Global Market × Kahana-Relevant Segment %.</t>
  </si>
  <si>
    <t>Kahana competes globally in this top-down model. No U.S. market-share assumption is used.</t>
  </si>
  <si>
    <t>Market CAGR guideline: 22.3% from The Business Research Company Creatorplaces market research; used as a growth proxy and selectable assumption.</t>
  </si>
  <si>
    <t>https://www.thebusinessresearchcompany.com/report/creatorplaces-global-market-report</t>
  </si>
  <si>
    <t>Comparable Platform Financial Benchmarks</t>
  </si>
  <si>
    <t>Platform/company revenue unless ARR or GMV is explicitly labeled. Private-company figures may be estimates; use the Data Quality column when benchmarking Kahana.</t>
  </si>
  <si>
    <t>Platform / Scale</t>
  </si>
  <si>
    <t>Latest Revenue / ARR</t>
  </si>
  <si>
    <t>Cost / Profitability</t>
  </si>
  <si>
    <t>Data Quality</t>
  </si>
  <si>
    <t>Source URL(s)</t>
  </si>
  <si>
    <t>Stan Store
~70K creators; ~25-person team (2025)</t>
  </si>
  <si>
    <t>$25M revenue (2024)
~$41M ARR (2026)</t>
  </si>
  <si>
    <t>Profitable since 2022 seed round; detailed P&amp;L not public</t>
  </si>
  <si>
    <t>High / Medium</t>
  </si>
  <si>
    <t>https://www.forbes.com/sites/victoriafeng/2025/08/12/this-startup-helps-creators-sell-classes-coaching-and-more-to-their-fans/
https://www.businessinsider.com/vibe-coded-7-figure-tool-startup-4-steps-followed-2026-7</t>
  </si>
  <si>
    <t>Beacons.ai
Private creator platform; estimate-only financial data</t>
  </si>
  <si>
    <t>~$10.8M revenue
2024 estimate</t>
  </si>
  <si>
    <t>No reliable public cost / profitability data located</t>
  </si>
  <si>
    <t>Low</t>
  </si>
  <si>
    <t>https://getlatka.com/companies/beacons.ai</t>
  </si>
  <si>
    <t>Kajabi
&gt;250 employees; &gt;$11B creator revenue powered</t>
  </si>
  <si>
    <t>Close to $200M annual revenue
2026 company / investor commentary</t>
  </si>
  <si>
    <t>Historically bootstrapped and profitable; detailed current P&amp;L not public</t>
  </si>
  <si>
    <t>https://www.spectrumequity.com/insights/partners-in-conversation-powering-creators-building-for-the-long-game/</t>
  </si>
  <si>
    <t>Linktree
70M+ users; broader link-in-bio platform</t>
  </si>
  <si>
    <t>~$55.5M revenue
2024 estimate</t>
  </si>
  <si>
    <t>No reliable standalone public cost P&amp;L located</t>
  </si>
  <si>
    <t>Medium / Low</t>
  </si>
  <si>
    <t>https://sacra.com/c/linktree/</t>
  </si>
  <si>
    <t>Gumroad
SEC-filed creator-commerce financials</t>
  </si>
  <si>
    <t>$17.8M revenue
2025 actual</t>
  </si>
  <si>
    <t>$6.1M COGS; $3.8M net income</t>
  </si>
  <si>
    <t>High</t>
  </si>
  <si>
    <t>https://www.sec.gov/Archives/edgar/data/1532978/0001532978-26-000003-index.htm</t>
  </si>
  <si>
    <t>Shopify
$378.4B GMV; much broader commerce platform</t>
  </si>
  <si>
    <t>$11.6B revenue
2025 actual</t>
  </si>
  <si>
    <t>$6.0B COGS; $4.1B OpEx; $1.47B operating income</t>
  </si>
  <si>
    <t>https://www.sec.gov/Archives/edgar/data/1594805/000159480526000007/shop-20251231.htm</t>
  </si>
  <si>
    <t>Flodesk
50 FTE and 80K paying customers at May-2024 interview</t>
  </si>
  <si>
    <t>&gt;$36M ARR
2025</t>
  </si>
  <si>
    <t>Profitable; paid ads were ~$700K/quarter in May-2024 founder interview</t>
  </si>
  <si>
    <t>https://flodesk.com/blog/a-milestone-year-made-together/
https://getlatka.com/companies/flodesk/interviews/flodesk-rebecca-shostak-2024</t>
  </si>
  <si>
    <t>Bio.Site
Squarespace product; no standalone P&amp;L</t>
  </si>
  <si>
    <t>Not separately disclosed</t>
  </si>
  <si>
    <t>https://www.squarespace.com/marketing/biosite</t>
  </si>
  <si>
    <t>Podia
Creator-focused all-in-one commerce / content platform</t>
  </si>
  <si>
    <t>Not publicly disclosed</t>
  </si>
  <si>
    <t>Company states it is profitable and independent</t>
  </si>
  <si>
    <t>https://www.podia.com/about</t>
  </si>
  <si>
    <t>Teachable
Owned by Hotmart; 200K+ creators across Hotmart + Teachable (2024)</t>
  </si>
  <si>
    <t>Standalone revenue not disclosed
$10B+ cumulative GMV across Hotmart + Teachable</t>
  </si>
  <si>
    <t>Standalone costs not disclosed</t>
  </si>
  <si>
    <t>High for GMV</t>
  </si>
  <si>
    <t>https://www.teachable.com/press/hotmart-company-announces-10-billion</t>
  </si>
  <si>
    <t>Benchmarking note: Gumroad and Shopify provide the strongest public cost data. Stan, Kajabi, Flodesk and Podia are useful operating-model references, while Beacons and Linktree revenue figures above are third-party estimates.</t>
  </si>
  <si>
    <t>2026A</t>
  </si>
  <si>
    <t>-</t>
  </si>
  <si>
    <t>Target Kahana Market Share at Forecast End</t>
  </si>
  <si>
    <t>Forecast Horizon (Years)</t>
  </si>
  <si>
    <t>Forecast End Year</t>
  </si>
  <si>
    <t>Kahana Market Share is measured within the Kahana-relevant global market. The selected target share is reached in the dynamically selected forecast end year.</t>
  </si>
  <si>
    <t>Revenue_YAU Model</t>
  </si>
  <si>
    <t>Annual User &amp; Revenue Build</t>
  </si>
  <si>
    <t>Definition / Formula Logic</t>
  </si>
  <si>
    <t>User Base</t>
  </si>
  <si>
    <t>Beginning Registered Users</t>
  </si>
  <si>
    <t>Beginning cumulative registered-user base.</t>
  </si>
  <si>
    <t>New Registered Users</t>
  </si>
  <si>
    <t>Ending Registered Users</t>
  </si>
  <si>
    <t>Beginning Registered Users + New Registered Users.</t>
  </si>
  <si>
    <t>YoY Registered User Growth %</t>
  </si>
  <si>
    <t>Ending Registered Users / prior-year Ending Registered Users - 1.</t>
  </si>
  <si>
    <t>Active Users</t>
  </si>
  <si>
    <t>Prior-Year YAU</t>
  </si>
  <si>
    <t>YAU Retention Rate</t>
  </si>
  <si>
    <t>INPUT: % of prior-year YAU that are active again this year.</t>
  </si>
  <si>
    <t>Retained Active Users</t>
  </si>
  <si>
    <t>Prior-Year YAU × YAU Retention Rate.</t>
  </si>
  <si>
    <t>New User Activation Rate</t>
  </si>
  <si>
    <t>INPUT: % of new registrations that become active during the year.</t>
  </si>
  <si>
    <t>Newly Active Users</t>
  </si>
  <si>
    <t>New Registered Users × New User Activation Rate.</t>
  </si>
  <si>
    <t>Yearly Active Users (YAU)</t>
  </si>
  <si>
    <t>YAU / Ending Registered Users %</t>
  </si>
  <si>
    <t>YAU / Ending Registered Users.</t>
  </si>
  <si>
    <t>YoY YAU Growth %</t>
  </si>
  <si>
    <t>YAU / prior-year YAU - 1.</t>
  </si>
  <si>
    <t>Monetization</t>
  </si>
  <si>
    <t>Annual Monetization Rate</t>
  </si>
  <si>
    <t>Monetizing Users</t>
  </si>
  <si>
    <t>Commerce</t>
  </si>
  <si>
    <t>GMV ($)</t>
  </si>
  <si>
    <t>Platform Revenue ($)</t>
  </si>
  <si>
    <t>Supporting KPIs</t>
  </si>
  <si>
    <t>Transactions / Monetizing User</t>
  </si>
  <si>
    <t>Average Order Value ($)</t>
  </si>
  <si>
    <t>Methodology / Notes</t>
  </si>
  <si>
    <t>YAU = unique users who perform at least one meaningful activity on Kahana during the year.</t>
  </si>
  <si>
    <t>YTD Actual</t>
  </si>
  <si>
    <t>2026 YTD covers 5 months; forecast periods are full years.</t>
  </si>
  <si>
    <t>INPUT: New user registrations during the period.</t>
  </si>
  <si>
    <t>Prior-period YAU. For 2024 onward, links to the prior column's YAU.</t>
  </si>
  <si>
    <t>INPUT for historical periods; forecast = Retained Active Users + Newly Active Users.</t>
  </si>
  <si>
    <t>Historical = Monetizing Users / YAU once YAU is entered. Forecast = input assumption.</t>
  </si>
  <si>
    <t>Historical values = Revenue-Generating Creators provided. Forecast = YAU × Monetization Rate.</t>
  </si>
  <si>
    <t>GMV / Monetizing User ($ / period)</t>
  </si>
  <si>
    <t>Historical = GMV / Monetizing User. Forecast = input assumption.</t>
  </si>
  <si>
    <t>Historical values provided. Forecast = Monetizing Users × GMV / Monetizing User.</t>
  </si>
  <si>
    <t>Historical = Platform Revenue / GMV. Forecast = input assumption.</t>
  </si>
  <si>
    <t>Historical values provided. Forecast = GMV × Platform Take Rate.</t>
  </si>
  <si>
    <t>Historical = Transactions / Monetizing User. Forecast = optional input assumption.</t>
  </si>
  <si>
    <t>Historical values provided. Forecast = Monetizing Users × Transactions / Monetizing User.</t>
  </si>
  <si>
    <t>Historical = GMV / Total Transactions. Forecast = GMV / Total Transactions.</t>
  </si>
  <si>
    <t>Revenue-Generating Creators from historical data are mapped to Monetizing Users; they are not treated as YAU.</t>
  </si>
  <si>
    <t>Core forecast formula: YAU × Annual Monetization Rate × GMV / Monetizing User × Platform Take Rate = Platform Revenue.</t>
  </si>
  <si>
    <t>Revenue Summary</t>
  </si>
  <si>
    <t>YoY revenue growth. 2026 YTD is intentionally not compared with full-year 2025.</t>
  </si>
  <si>
    <t>2026 is shown as YTD (5 months), so growth rates versus full-year periods are intentionally left blank where not comparable.</t>
  </si>
  <si>
    <t>The Revenue Summary at the top is a presentation layer only; every summary line links to the detailed driver build below.</t>
  </si>
  <si>
    <t>2026 YTD covers 5 months; all forecast columns are full-year periods.</t>
  </si>
  <si>
    <t>Annual Expense Forecast</t>
  </si>
  <si>
    <t>Personnel Expense</t>
  </si>
  <si>
    <t>Technology &amp; Infrastructure</t>
  </si>
  <si>
    <t>Transaction / Platform Costs</t>
  </si>
  <si>
    <t>Total Expenses</t>
  </si>
  <si>
    <t>YoY Expense Growth %</t>
  </si>
  <si>
    <t>Operating Expense Build</t>
  </si>
  <si>
    <t>Driver / Explanation</t>
  </si>
  <si>
    <t>Personnel</t>
  </si>
  <si>
    <t>CEO – Average FTE</t>
  </si>
  <si>
    <t>CEO – Cash Compensation / FTE ($)</t>
  </si>
  <si>
    <t>CEO Compensation</t>
  </si>
  <si>
    <t>Average FTE × Cash Compensation / FTE.</t>
  </si>
  <si>
    <t>Engineering – Average FTE</t>
  </si>
  <si>
    <t>Engineering – Cash Compensation / FTE ($)</t>
  </si>
  <si>
    <t>Engineering Compensation</t>
  </si>
  <si>
    <t>Product – Average FTE</t>
  </si>
  <si>
    <t>Product – Cash Compensation / FTE ($)</t>
  </si>
  <si>
    <t>Product Compensation</t>
  </si>
  <si>
    <t>Chief of Staff / Operations – Average FTE</t>
  </si>
  <si>
    <t>Chief of Staff / Operations – Cash Compensation / FTE ($)</t>
  </si>
  <si>
    <t>Chief of Staff / Operations Compensation</t>
  </si>
  <si>
    <t>Total Cash Compensation</t>
  </si>
  <si>
    <t>Sum of role-level cash compensation.</t>
  </si>
  <si>
    <t>Payroll Taxes &amp; Benefits %</t>
  </si>
  <si>
    <t>INPUT: Payroll taxes, healthcare, and benefits as % of total cash compensation.</t>
  </si>
  <si>
    <t>Payroll Taxes &amp; Benefits</t>
  </si>
  <si>
    <t>Total Cash Compensation × Payroll Taxes &amp; Benefits %.</t>
  </si>
  <si>
    <t>Total Personnel Expense</t>
  </si>
  <si>
    <t>Total Cash Compensation + Payroll Taxes &amp; Benefits.</t>
  </si>
  <si>
    <t>Cloud &amp; Hosting</t>
  </si>
  <si>
    <t>INPUT: Annual cloud and hosting spend. No revenue/user linkage.</t>
  </si>
  <si>
    <t>Developer &amp; Productivity Software</t>
  </si>
  <si>
    <t>Linked to Supporting Detail – SaaS / Tools rows classified as developer/productivity software.</t>
  </si>
  <si>
    <t>Email / Communications</t>
  </si>
  <si>
    <t>Linked to supporting-detail email / communications tools.</t>
  </si>
  <si>
    <t>Domain / Web</t>
  </si>
  <si>
    <t>Linked to domain/web supporting detail.</t>
  </si>
  <si>
    <t>Other Technology</t>
  </si>
  <si>
    <t>INPUT: Other technology not captured in the supporting detail.</t>
  </si>
  <si>
    <t>Total Technology &amp; Infrastructure</t>
  </si>
  <si>
    <t>Sum of Technology &amp; Infrastructure expenses.</t>
  </si>
  <si>
    <t>Paid Marketing</t>
  </si>
  <si>
    <t>INPUT: Annual paid marketing budget.</t>
  </si>
  <si>
    <t>Creator Partnerships / Promotions</t>
  </si>
  <si>
    <t>INPUT: Creator partnership, incentive, or promotional spend.</t>
  </si>
  <si>
    <t>Brand / Content / Events</t>
  </si>
  <si>
    <t>INPUT: Brand, content, events, or community spend.</t>
  </si>
  <si>
    <t>Other Sales &amp; Marketing</t>
  </si>
  <si>
    <t>INPUT: Other sales &amp; marketing expense.</t>
  </si>
  <si>
    <t>Sum of Sales &amp; Marketing expenses.</t>
  </si>
  <si>
    <t>Legal</t>
  </si>
  <si>
    <t>INPUT: Legal expense.</t>
  </si>
  <si>
    <t>Accounting &amp; Tax</t>
  </si>
  <si>
    <t>INPUT: Accounting, bookkeeping, tax preparation, and filing expense.</t>
  </si>
  <si>
    <t>Insurance</t>
  </si>
  <si>
    <t>INPUT: Business / cyber / D&amp;O or other insurance expense.</t>
  </si>
  <si>
    <t>Corporate / Banking Fees</t>
  </si>
  <si>
    <t>INPUT: Corporate, banking, registered-agent, and similar fees.</t>
  </si>
  <si>
    <t>Other G&amp;A</t>
  </si>
  <si>
    <t>INPUT: Other G&amp;A.</t>
  </si>
  <si>
    <t>Total G&amp;A</t>
  </si>
  <si>
    <t>Sum of G&amp;A expenses.</t>
  </si>
  <si>
    <t>Payment Processing &amp; Transaction Costs</t>
  </si>
  <si>
    <t>INPUT: Payment-processing / transaction costs. Kept as a direct annual input for now; no GMV or revenue link.</t>
  </si>
  <si>
    <t>Other Variable Platform Costs</t>
  </si>
  <si>
    <t>INPUT: Other variable platform costs, entered directly.</t>
  </si>
  <si>
    <t>Total Transaction / Platform Costs</t>
  </si>
  <si>
    <t>Sum of transaction / platform costs.</t>
  </si>
  <si>
    <t>Supporting Detail – SaaS / Tools</t>
  </si>
  <si>
    <t>Supporting-detail line only. Historically included in developer tooling.</t>
  </si>
  <si>
    <t>Supporting-detail line only. Historically included in cloud / hosting.</t>
  </si>
  <si>
    <t>Supporting-detail line only. Historically included in productivity / communications.</t>
  </si>
  <si>
    <t>Supporting-detail line only. Historically included in email / communications.</t>
  </si>
  <si>
    <t>Supporting-detail line only. Historically included in domain / web.</t>
  </si>
  <si>
    <t>Supporting-detail line only. Historically included in accounting / tax.</t>
  </si>
  <si>
    <t>Other Small SaaS / Tools</t>
  </si>
  <si>
    <t>Use for any small tools that are not worth showing in the main expense build.</t>
  </si>
  <si>
    <t>Total SaaS / Tools Detail</t>
  </si>
  <si>
    <t>Sum of small SaaS / tools detail.</t>
  </si>
  <si>
    <t>Personnel is modeled using Average FTE × Annual Cash Compensation / FTE; payroll taxes and benefits are layered on separately.</t>
  </si>
  <si>
    <t>Major technology, marketing, G&amp;A, and transaction costs are forecast as direct annual assumptions. Small SaaS tools are kept in a supporting-detail section rather than cluttering the main expense build.</t>
  </si>
  <si>
    <t>The Expense Summary at the top is a presentation layer only; every summary line links to the detailed expense build below.</t>
  </si>
  <si>
    <t>2026 YTD represents five months, so growth rates across 2026 YTD and 2027F are intentionally omitted.</t>
  </si>
  <si>
    <t>Funding Assumptions</t>
  </si>
  <si>
    <t>Funding Year</t>
  </si>
  <si>
    <t># Hires</t>
  </si>
  <si>
    <t>Base Annual Salary</t>
  </si>
  <si>
    <t>Hire Year</t>
  </si>
  <si>
    <t>OK</t>
  </si>
  <si>
    <t>Hiring logic: Seed Raise Amount determines how far down the strict priority list the company can hire. All positions whose funding thresholds are met are hired in the Funding Year, with a full year of salary in that year. Annual raises apply beginning in the following year. No employee attrition is assumed in this schedule.</t>
  </si>
  <si>
    <t>Yearly Hiring &amp; Compensation Plan</t>
  </si>
  <si>
    <t>2026E</t>
  </si>
  <si>
    <t>Headcount by Role</t>
  </si>
  <si>
    <t>Engineers</t>
  </si>
  <si>
    <t>Total Headcount</t>
  </si>
  <si>
    <t>Annual Cash Compensation</t>
  </si>
  <si>
    <t>New Hires in Year</t>
  </si>
  <si>
    <t>Total New Hires</t>
  </si>
  <si>
    <t>Forecast: linked to annual CEO headcount in Assumptions. Historical / 2026 YTD remains manual.</t>
  </si>
  <si>
    <t>Forecast: linked to annual CEO compensation per FTE implied by the Assumptions hiring plan, including annual raises.</t>
  </si>
  <si>
    <t>Forecast: linked to annual Engineering headcount in Assumptions.</t>
  </si>
  <si>
    <t>Forecast: linked to annual Engineering compensation per FTE implied by the Assumptions hiring plan, including annual raises.</t>
  </si>
  <si>
    <t>Forecast: linked to annual Product Manager headcount in Assumptions.</t>
  </si>
  <si>
    <t>Forecast: linked to annual Product Manager compensation per FTE implied by the Assumptions hiring plan, including annual raises.</t>
  </si>
  <si>
    <t>Forecast: linked to annual Chief of Staff headcount in Assumptions.</t>
  </si>
  <si>
    <t>Forecast: linked to annual Chief of Staff compensation per FTE implied by the Assumptions hiring plan, including annual raises.</t>
  </si>
  <si>
    <t>This expense model remains standalone from revenue, GMV, and YAU. Forecast personnel headcount and compensation are linked only to the annual hiring plan on the Assumptions tab.</t>
  </si>
  <si>
    <t>Tax Assumptions</t>
  </si>
  <si>
    <t>Federal Tax Rate</t>
  </si>
  <si>
    <t>Summary Income Statement</t>
  </si>
  <si>
    <t>State &amp; Local Tax Rate</t>
  </si>
  <si>
    <t>Total Tax Rate</t>
  </si>
  <si>
    <t>Revenue Scenario Comparison</t>
  </si>
  <si>
    <t>Tax Treatment</t>
  </si>
  <si>
    <t>Tax expense only when pre-tax income is positive; no NOL carryforward modeled.</t>
  </si>
  <si>
    <t>Bottom-Up / YAU Platform Revenue</t>
  </si>
  <si>
    <t>Top-Down Platform Revenue</t>
  </si>
  <si>
    <t>Top-Down Less Bottom-Up</t>
  </si>
  <si>
    <t>Top-Down / Bottom-Up</t>
  </si>
  <si>
    <t>Bottom-Up / YAU Case</t>
  </si>
  <si>
    <t>Gross Profit</t>
  </si>
  <si>
    <t>Gross Margin %</t>
  </si>
  <si>
    <t>Total Operating Expenses</t>
  </si>
  <si>
    <t>Operating Income</t>
  </si>
  <si>
    <t>Operating Margin %</t>
  </si>
  <si>
    <t>Pre-Tax Income</t>
  </si>
  <si>
    <t>Taxes</t>
  </si>
  <si>
    <t>Net Income</t>
  </si>
  <si>
    <t>Net Margin %</t>
  </si>
  <si>
    <t>Top-Down Case</t>
  </si>
  <si>
    <t>Revenue_YAU and Revenue_T are alternative revenue scenarios and are not added together.</t>
  </si>
  <si>
    <t>The Bottom-Up / YAU case uses Revenue_YAU platform revenue and the shared Expenses_Y forecast.</t>
  </si>
  <si>
    <t>The Top-Down case begins in 2027F. Revenue_T contains a 2026 annual base revenue, while Expenses_Y contains only 5 months of 2026 YTD expenses, so a 2026 top-down income statement would not be period-comparable.</t>
  </si>
  <si>
    <t>Transaction / Platform Costs are treated as cost of revenue for presentation. Personnel, Technology &amp; Infrastructure, Sales &amp; Marketing, and G&amp;A are treated as operating expenses.</t>
  </si>
  <si>
    <t>Pre-tax income currently equals operating income because interest and other non-operating items are not modeled. Taxes are applied only to positive pre-tax income; no NOL carryforward is modeled.</t>
  </si>
  <si>
    <t>per hour</t>
  </si>
  <si>
    <t>email found</t>
  </si>
  <si>
    <t>finding profiles</t>
  </si>
  <si>
    <t>response rate</t>
  </si>
  <si>
    <t>set up meeting</t>
  </si>
  <si>
    <t>yes to collaborate</t>
  </si>
  <si>
    <t>10 hour lag</t>
  </si>
  <si>
    <t>per month</t>
  </si>
  <si>
    <t>30 people</t>
  </si>
  <si>
    <t>10 hours per week</t>
  </si>
  <si>
    <t>if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</si>
</sst>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\$#,##0;[Red]\(\$#,##0\);\-"/>
    <numFmt numFmtId="165" formatCode="#,##0;[Red]\(#,##0\);\-"/>
    <numFmt numFmtId="166" formatCode="0.0%;[Red]\(0.0%\);\-"/>
    <numFmt numFmtId="167" formatCode="0.0\x;[Red]\(0.0\x\);\-"/>
    <numFmt numFmtId="168" formatCode="\$#,##0.00;[Red]\(\$#,##0.00\);\-"/>
    <numFmt numFmtId="169" formatCode="0.0%"/>
    <numFmt numFmtId="170" formatCode="#,##0.0;[Red]\(#,##0.0\);\-"/>
    <numFmt numFmtId="171" formatCode="\$#,##0.0;[Red]\(\$#,##0.0\);\-"/>
    <numFmt numFmtId="172" formatCode="\$0.000;[Red]\(\$0.000\);\-"/>
    <numFmt numFmtId="173" formatCode="0.000000%;[Red]\(0.000000%\);\-"/>
    <numFmt numFmtId="174" formatCode="0.00%;[Red]\(0.00%\);\-"/>
    <numFmt numFmtId="175" formatCode="_(&quot;$&quot;* #,##0_);_(&quot;$&quot;* \(#,##0\);_(&quot;$&quot;* &quot;-&quot;??_);_(@_)"/>
  </numFmts>
  <fonts count="16">
    <font>
      <sz val="11"/>
      <name val="Carlito"/>
    </font>
    <font>
      <sz val="10"/>
      <color rgb="FF1F1F1F"/>
      <name val="Calibri"/>
      <family val="2"/>
    </font>
    <font>
      <b/>
      <sz val="10"/>
      <color rgb="FF1F1F1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i/>
      <sz val="10"/>
      <color rgb="FF666666"/>
      <name val="Calibri"/>
      <family val="2"/>
    </font>
    <font>
      <sz val="10"/>
      <name val="Calibri"/>
      <family val="2"/>
    </font>
    <font>
      <i/>
      <sz val="9"/>
      <color rgb="FF666666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rgb="FF0563C1"/>
      <name val="Calibri"/>
      <family val="2"/>
    </font>
    <font>
      <sz val="10"/>
      <color rgb="FF008000"/>
      <name val="Calibri"/>
      <family val="2"/>
    </font>
    <font>
      <b/>
      <i/>
      <sz val="10"/>
      <color rgb="FF666666"/>
      <name val="Calibri"/>
      <family val="2"/>
    </font>
    <font>
      <sz val="10"/>
      <color rgb="FFA6A6A6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808080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4" fillId="0" borderId="0" xfId="0" applyFont="1" applyAlignment="1">
      <alignment horizontal="right"/>
    </xf>
    <xf numFmtId="0" fontId="8" fillId="0" borderId="1" xfId="0" applyFont="1" applyBorder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71" fontId="8" fillId="0" borderId="0" xfId="0" applyNumberFormat="1" applyFont="1" applyAlignment="1">
      <alignment horizontal="right"/>
    </xf>
    <xf numFmtId="173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71" fontId="9" fillId="6" borderId="0" xfId="0" applyNumberFormat="1" applyFont="1" applyFill="1" applyAlignment="1">
      <alignment horizontal="right"/>
    </xf>
    <xf numFmtId="172" fontId="9" fillId="6" borderId="0" xfId="0" applyNumberFormat="1" applyFont="1" applyFill="1" applyAlignment="1">
      <alignment horizontal="right"/>
    </xf>
    <xf numFmtId="17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" fontId="9" fillId="7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174" fontId="4" fillId="2" borderId="0" xfId="0" applyNumberFormat="1" applyFont="1" applyFill="1" applyAlignment="1">
      <alignment horizontal="right"/>
    </xf>
    <xf numFmtId="1" fontId="9" fillId="8" borderId="0" xfId="0" applyNumberFormat="1" applyFont="1" applyFill="1" applyAlignment="1">
      <alignment horizontal="right"/>
    </xf>
    <xf numFmtId="1" fontId="9" fillId="9" borderId="0" xfId="0" applyNumberFormat="1" applyFont="1" applyFill="1" applyAlignment="1">
      <alignment horizontal="right"/>
    </xf>
    <xf numFmtId="0" fontId="8" fillId="0" borderId="0" xfId="0" applyFont="1" applyAlignment="1">
      <alignment horizontal="right"/>
    </xf>
    <xf numFmtId="1" fontId="8" fillId="0" borderId="0" xfId="0" applyNumberFormat="1" applyFont="1" applyAlignment="1">
      <alignment horizontal="right"/>
    </xf>
    <xf numFmtId="169" fontId="6" fillId="0" borderId="0" xfId="0" applyNumberFormat="1" applyFont="1"/>
    <xf numFmtId="9" fontId="6" fillId="0" borderId="0" xfId="0" applyNumberFormat="1" applyFont="1"/>
    <xf numFmtId="171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7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5" fontId="9" fillId="9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9" fillId="9" borderId="0" xfId="0" applyNumberFormat="1" applyFont="1" applyFill="1" applyAlignment="1">
      <alignment horizontal="right"/>
    </xf>
    <xf numFmtId="0" fontId="8" fillId="0" borderId="1" xfId="0" applyFont="1" applyBorder="1" applyAlignment="1">
      <alignment horizontal="left"/>
    </xf>
    <xf numFmtId="164" fontId="9" fillId="9" borderId="0" xfId="0" applyNumberFormat="1" applyFont="1" applyFill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9" borderId="0" xfId="0" applyNumberFormat="1" applyFont="1" applyFill="1" applyAlignment="1">
      <alignment horizontal="right"/>
    </xf>
    <xf numFmtId="166" fontId="4" fillId="9" borderId="0" xfId="0" applyNumberFormat="1" applyFont="1" applyFill="1" applyAlignment="1">
      <alignment horizontal="right"/>
    </xf>
    <xf numFmtId="165" fontId="9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8" fontId="4" fillId="9" borderId="0" xfId="0" applyNumberFormat="1" applyFont="1" applyFill="1" applyAlignment="1">
      <alignment horizontal="right"/>
    </xf>
    <xf numFmtId="168" fontId="8" fillId="0" borderId="1" xfId="0" applyNumberFormat="1" applyFont="1" applyBorder="1" applyAlignment="1">
      <alignment horizontal="right"/>
    </xf>
    <xf numFmtId="167" fontId="4" fillId="0" borderId="0" xfId="0" applyNumberFormat="1" applyFont="1" applyAlignment="1">
      <alignment horizontal="right"/>
    </xf>
    <xf numFmtId="167" fontId="4" fillId="9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0" fontId="8" fillId="11" borderId="0" xfId="0" applyFont="1" applyFill="1" applyAlignment="1">
      <alignment horizontal="left"/>
    </xf>
    <xf numFmtId="0" fontId="8" fillId="11" borderId="0" xfId="0" applyFont="1" applyFill="1" applyAlignment="1">
      <alignment horizontal="right"/>
    </xf>
    <xf numFmtId="168" fontId="9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8" fillId="11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8" fillId="0" borderId="1" xfId="0" applyNumberFormat="1" applyFont="1" applyBorder="1" applyAlignment="1">
      <alignment horizontal="right"/>
    </xf>
    <xf numFmtId="170" fontId="11" fillId="13" borderId="0" xfId="0" applyNumberFormat="1" applyFont="1" applyFill="1" applyAlignment="1">
      <alignment horizontal="right"/>
    </xf>
    <xf numFmtId="164" fontId="11" fillId="13" borderId="0" xfId="0" applyNumberFormat="1" applyFont="1" applyFill="1" applyAlignment="1">
      <alignment horizontal="right"/>
    </xf>
    <xf numFmtId="0" fontId="5" fillId="0" borderId="0" xfId="0" applyFont="1"/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vertical="top" wrapText="1"/>
    </xf>
    <xf numFmtId="0" fontId="12" fillId="12" borderId="0" xfId="0" applyFont="1" applyFill="1" applyAlignment="1">
      <alignment horizontal="left" vertical="top" wrapText="1"/>
    </xf>
    <xf numFmtId="1" fontId="13" fillId="0" borderId="0" xfId="0" applyNumberFormat="1" applyFont="1" applyAlignment="1">
      <alignment horizontal="center"/>
    </xf>
    <xf numFmtId="0" fontId="5" fillId="0" borderId="0" xfId="0" applyFont="1" applyAlignment="1">
      <alignment vertical="top"/>
    </xf>
    <xf numFmtId="0" fontId="12" fillId="12" borderId="0" xfId="0" applyFont="1" applyFill="1" applyAlignment="1">
      <alignment horizontal="left" vertical="top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166" fontId="4" fillId="0" borderId="0" xfId="0" applyNumberFormat="1" applyFont="1"/>
    <xf numFmtId="164" fontId="11" fillId="0" borderId="0" xfId="0" applyNumberFormat="1" applyFont="1" applyAlignment="1">
      <alignment horizontal="right"/>
    </xf>
    <xf numFmtId="0" fontId="8" fillId="0" borderId="3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1" fontId="5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4" fontId="8" fillId="0" borderId="4" xfId="0" applyNumberFormat="1" applyFont="1" applyBorder="1" applyAlignment="1">
      <alignment horizontal="right"/>
    </xf>
    <xf numFmtId="166" fontId="4" fillId="0" borderId="3" xfId="0" applyNumberFormat="1" applyFont="1" applyBorder="1" applyAlignment="1">
      <alignment horizontal="right"/>
    </xf>
    <xf numFmtId="170" fontId="11" fillId="13" borderId="3" xfId="0" applyNumberFormat="1" applyFont="1" applyFill="1" applyBorder="1" applyAlignment="1">
      <alignment horizontal="right"/>
    </xf>
    <xf numFmtId="164" fontId="11" fillId="13" borderId="3" xfId="0" applyNumberFormat="1" applyFont="1" applyFill="1" applyBorder="1" applyAlignment="1">
      <alignment horizontal="right"/>
    </xf>
    <xf numFmtId="166" fontId="9" fillId="9" borderId="3" xfId="0" applyNumberFormat="1" applyFont="1" applyFill="1" applyBorder="1" applyAlignment="1">
      <alignment horizontal="right"/>
    </xf>
    <xf numFmtId="164" fontId="9" fillId="9" borderId="3" xfId="0" applyNumberFormat="1" applyFont="1" applyFill="1" applyBorder="1" applyAlignment="1">
      <alignment horizontal="right"/>
    </xf>
    <xf numFmtId="0" fontId="6" fillId="0" borderId="3" xfId="0" applyFont="1" applyBorder="1"/>
    <xf numFmtId="175" fontId="8" fillId="0" borderId="1" xfId="0" applyNumberFormat="1" applyFont="1" applyBorder="1"/>
    <xf numFmtId="0" fontId="4" fillId="14" borderId="0" xfId="0" applyFont="1" applyFill="1" applyAlignment="1">
      <alignment horizontal="left"/>
    </xf>
    <xf numFmtId="165" fontId="8" fillId="14" borderId="0" xfId="0" applyNumberFormat="1" applyFont="1" applyFill="1" applyAlignment="1">
      <alignment horizontal="right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5" fillId="0" borderId="0" xfId="0" applyFont="1"/>
    <xf numFmtId="9" fontId="15" fillId="0" borderId="0" xfId="0" applyNumberFormat="1" applyFont="1"/>
    <xf numFmtId="0" fontId="7" fillId="0" borderId="0" xfId="0" applyFont="1" applyAlignment="1">
      <alignment horizontal="left" wrapText="1"/>
    </xf>
    <xf numFmtId="0" fontId="8" fillId="11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4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3" fillId="10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8" fillId="11" borderId="0" xfId="0" applyFont="1" applyFill="1" applyAlignment="1">
      <alignment horizontal="right"/>
    </xf>
    <xf numFmtId="0" fontId="12" fillId="11" borderId="0" xfId="0" applyFont="1" applyFill="1" applyAlignment="1">
      <alignment horizontal="left" vertical="top" wrapText="1"/>
    </xf>
    <xf numFmtId="0" fontId="12" fillId="3" borderId="0" xfId="0" applyFont="1" applyFill="1" applyAlignment="1">
      <alignment horizontal="left" vertical="top" wrapText="1"/>
    </xf>
    <xf numFmtId="0" fontId="1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1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3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31" fmlaLink="Revenue_T!$XFD$1" horiz="1" max="500" min="1" page="10" val="100"/>
</file>

<file path=xl/ctrlProps/ctrlProp2.xml><?xml version="1.0" encoding="utf-8"?>
<formControlPr xmlns="http://schemas.microsoft.com/office/spreadsheetml/2009/9/main" objectType="Scroll" dx="31" fmlaLink="Revenue_T!$XFD$3" horiz="1" max="300" min="50" page="10" val="114"/>
</file>

<file path=xl/ctrlProps/ctrlProp3.xml><?xml version="1.0" encoding="utf-8"?>
<formControlPr xmlns="http://schemas.microsoft.com/office/spreadsheetml/2009/9/main" objectType="Scroll" dx="31" fmlaLink="Revenue_T!$XFD$2" horiz="1" max="1000" min="50" page="10" val="75"/>
</file>

<file path=xl/ctrlProps/ctrlProp4.xml><?xml version="1.0" encoding="utf-8"?>
<formControlPr xmlns="http://schemas.microsoft.com/office/spreadsheetml/2009/9/main" objectType="Scroll" dx="31" fmlaLink="Revenue_T!$XFD$4" horiz="1" max="15" min="1" page="10" val="7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21</xdr:row>
          <xdr:rowOff>0</xdr:rowOff>
        </xdr:from>
        <xdr:to>
          <xdr:col>12</xdr:col>
          <xdr:colOff>831850</xdr:colOff>
          <xdr:row>21</xdr:row>
          <xdr:rowOff>152400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127000</xdr:colOff>
          <xdr:row>18</xdr:row>
          <xdr:rowOff>6350</xdr:rowOff>
        </xdr:from>
        <xdr:to>
          <xdr:col>12</xdr:col>
          <xdr:colOff>857250</xdr:colOff>
          <xdr:row>18</xdr:row>
          <xdr:rowOff>158750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16</xdr:row>
          <xdr:rowOff>6350</xdr:rowOff>
        </xdr:from>
        <xdr:to>
          <xdr:col>12</xdr:col>
          <xdr:colOff>876300</xdr:colOff>
          <xdr:row>17</xdr:row>
          <xdr:rowOff>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</xdr:colOff>
          <xdr:row>23</xdr:row>
          <xdr:rowOff>0</xdr:rowOff>
        </xdr:from>
        <xdr:to>
          <xdr:col>12</xdr:col>
          <xdr:colOff>850900</xdr:colOff>
          <xdr:row>24</xdr:row>
          <xdr:rowOff>6350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3895-0569-4F4D-8BFB-2CEBC4FB791C}">
  <dimension ref="A1:O60"/>
  <sheetViews>
    <sheetView zoomScale="80" zoomScaleNormal="80" workbookViewId="0">
      <selection activeCell="A13" sqref="A13:K13"/>
    </sheetView>
  </sheetViews>
  <sheetFormatPr defaultRowHeight="14"/>
  <cols>
    <col min="1" max="1" width="34" customWidth="1"/>
    <col min="2" max="2" width="3" customWidth="1"/>
    <col min="3" max="11" width="13" customWidth="1"/>
    <col min="12" max="12" width="3" customWidth="1"/>
    <col min="13" max="13" width="24" customWidth="1"/>
    <col min="14" max="14" width="16" customWidth="1"/>
    <col min="15" max="15" width="30" customWidth="1"/>
  </cols>
  <sheetData>
    <row r="1" spans="1:15" ht="12" customHeight="1">
      <c r="A1" s="52"/>
      <c r="B1" s="3"/>
      <c r="C1" s="25" t="s">
        <v>18</v>
      </c>
      <c r="D1" s="25" t="s">
        <v>19</v>
      </c>
      <c r="E1" s="25" t="s">
        <v>20</v>
      </c>
      <c r="F1" s="25" t="s">
        <v>39</v>
      </c>
      <c r="G1" s="25" t="s">
        <v>21</v>
      </c>
      <c r="H1" s="25" t="s">
        <v>22</v>
      </c>
      <c r="I1" s="25" t="s">
        <v>23</v>
      </c>
      <c r="J1" s="25" t="s">
        <v>24</v>
      </c>
      <c r="K1" s="25" t="s">
        <v>25</v>
      </c>
      <c r="L1" s="3"/>
      <c r="M1" s="3"/>
      <c r="N1" s="3"/>
      <c r="O1" s="3"/>
    </row>
    <row r="2" spans="1:15" ht="12" customHeight="1">
      <c r="A2" s="52"/>
      <c r="B2" s="3"/>
      <c r="C2" s="4" t="s">
        <v>0</v>
      </c>
      <c r="D2" s="4" t="s">
        <v>0</v>
      </c>
      <c r="E2" s="4" t="s">
        <v>0</v>
      </c>
      <c r="F2" s="4" t="s">
        <v>156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3"/>
      <c r="M2" s="103" t="s">
        <v>286</v>
      </c>
      <c r="N2" s="103"/>
      <c r="O2" s="103"/>
    </row>
    <row r="3" spans="1:15" ht="12" customHeight="1">
      <c r="A3" s="52"/>
      <c r="B3" s="3"/>
      <c r="C3" s="6"/>
      <c r="D3" s="6"/>
      <c r="E3" s="6"/>
      <c r="F3" s="6"/>
      <c r="G3" s="6"/>
      <c r="H3" s="6"/>
      <c r="I3" s="6"/>
      <c r="J3" s="6"/>
      <c r="K3" s="6"/>
      <c r="L3" s="3"/>
      <c r="M3" s="3" t="s">
        <v>287</v>
      </c>
      <c r="N3" s="36">
        <v>0.21</v>
      </c>
      <c r="O3" s="3"/>
    </row>
    <row r="4" spans="1:15" ht="13.4" customHeight="1">
      <c r="A4" s="104" t="s">
        <v>288</v>
      </c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3"/>
      <c r="M4" s="3" t="s">
        <v>289</v>
      </c>
      <c r="N4" s="36">
        <v>0</v>
      </c>
      <c r="O4" s="3"/>
    </row>
    <row r="5" spans="1:15" ht="12" customHeight="1">
      <c r="A5" s="52"/>
      <c r="B5" s="3"/>
      <c r="C5" s="6"/>
      <c r="D5" s="6"/>
      <c r="E5" s="6"/>
      <c r="F5" s="6"/>
      <c r="G5" s="6"/>
      <c r="H5" s="6"/>
      <c r="I5" s="6"/>
      <c r="J5" s="6"/>
      <c r="K5" s="6"/>
      <c r="L5" s="3"/>
      <c r="M5" s="3" t="s">
        <v>290</v>
      </c>
      <c r="N5" s="81">
        <f>SUM(N3:N4)</f>
        <v>0.21</v>
      </c>
      <c r="O5" s="3"/>
    </row>
    <row r="6" spans="1:15" ht="13.4" customHeight="1">
      <c r="A6" s="106" t="s">
        <v>291</v>
      </c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3"/>
      <c r="M6" s="3" t="s">
        <v>292</v>
      </c>
      <c r="N6" s="102" t="s">
        <v>293</v>
      </c>
      <c r="O6" s="102"/>
    </row>
    <row r="7" spans="1:15" ht="12" customHeight="1">
      <c r="A7" s="52" t="s">
        <v>294</v>
      </c>
      <c r="B7" s="6"/>
      <c r="C7" s="82" t="str">
        <f ca="1">IFERROR(INDIRECT("'Revenue_YAU'!C15"),"")</f>
        <v/>
      </c>
      <c r="D7" s="82" t="str">
        <f ca="1">IFERROR(INDIRECT("'Revenue_YAU'!D15"),"")</f>
        <v/>
      </c>
      <c r="E7" s="82" t="str">
        <f ca="1">IFERROR(INDIRECT("'Revenue_YAU'!E15"),"")</f>
        <v/>
      </c>
      <c r="F7" s="82" t="str">
        <f ca="1">IFERROR(INDIRECT("'Revenue_YAU'!F15"),"")</f>
        <v/>
      </c>
      <c r="G7" s="82" t="str">
        <f ca="1">IFERROR(INDIRECT("'Revenue_YAU'!G15"),"")</f>
        <v/>
      </c>
      <c r="H7" s="82" t="str">
        <f ca="1">IFERROR(INDIRECT("'Revenue_YAU'!H15"),"")</f>
        <v/>
      </c>
      <c r="I7" s="82" t="str">
        <f ca="1">IFERROR(INDIRECT("'Revenue_YAU'!I15"),"")</f>
        <v/>
      </c>
      <c r="J7" s="82" t="str">
        <f ca="1">IFERROR(INDIRECT("'Revenue_YAU'!J15"),"")</f>
        <v/>
      </c>
      <c r="K7" s="82" t="str">
        <f ca="1">IFERROR(INDIRECT("'Revenue_YAU'!K15"),"")</f>
        <v/>
      </c>
      <c r="L7" s="3"/>
      <c r="M7" s="3"/>
      <c r="N7" s="3"/>
      <c r="O7" s="3"/>
    </row>
    <row r="8" spans="1:15" ht="12" customHeight="1">
      <c r="A8" s="52" t="s">
        <v>295</v>
      </c>
      <c r="B8" s="6"/>
      <c r="C8" s="82"/>
      <c r="D8" s="82"/>
      <c r="E8" s="82"/>
      <c r="F8" s="82"/>
      <c r="G8" s="82">
        <f ca="1">IFERROR(INDIRECT("'Revenue_T'!D12"),"")</f>
        <v>6649.5812967316651</v>
      </c>
      <c r="H8" s="82">
        <f ca="1">IFERROR(INDIRECT("'Revenue_T'!E12"),"")</f>
        <v>44216.931421843597</v>
      </c>
      <c r="I8" s="82">
        <f ca="1">IFERROR(INDIRECT("'Revenue_T'!F12"),"")</f>
        <v>294024.08018155786</v>
      </c>
      <c r="J8" s="82">
        <f ca="1">IFERROR(INDIRECT("'Revenue_T'!G12"),"")</f>
        <v>1955137.024364019</v>
      </c>
      <c r="K8" s="82">
        <f ca="1">IFERROR(INDIRECT("'Revenue_T'!H12"),"")</f>
        <v>13000842.589758582</v>
      </c>
      <c r="L8" s="3"/>
      <c r="M8" s="3"/>
      <c r="N8" s="3"/>
      <c r="O8" s="3"/>
    </row>
    <row r="9" spans="1:15" ht="12" customHeight="1">
      <c r="A9" s="52" t="s">
        <v>296</v>
      </c>
      <c r="B9" s="6"/>
      <c r="C9" s="40"/>
      <c r="D9" s="40"/>
      <c r="E9" s="40"/>
      <c r="F9" s="40"/>
      <c r="G9" s="40" t="str">
        <f ca="1">IF(OR(G7="",G8=""),"",G8-G7)</f>
        <v/>
      </c>
      <c r="H9" s="40" t="str">
        <f ca="1">IF(OR(H7="",H8=""),"",H8-H7)</f>
        <v/>
      </c>
      <c r="I9" s="40" t="str">
        <f ca="1">IF(OR(I7="",I8=""),"",I8-I7)</f>
        <v/>
      </c>
      <c r="J9" s="40" t="str">
        <f ca="1">IF(OR(J7="",J8=""),"",J8-J7)</f>
        <v/>
      </c>
      <c r="K9" s="40" t="str">
        <f ca="1">IF(OR(K7="",K8=""),"",K8-K7)</f>
        <v/>
      </c>
      <c r="L9" s="3"/>
      <c r="M9" s="3"/>
      <c r="N9" s="3"/>
      <c r="O9" s="3"/>
    </row>
    <row r="10" spans="1:15" ht="12" customHeight="1">
      <c r="A10" s="52" t="s">
        <v>297</v>
      </c>
      <c r="B10" s="6"/>
      <c r="C10" s="35"/>
      <c r="D10" s="35"/>
      <c r="E10" s="35"/>
      <c r="F10" s="35"/>
      <c r="G10" s="35" t="str">
        <f ca="1">IFERROR(G8/G7,"")</f>
        <v/>
      </c>
      <c r="H10" s="35" t="str">
        <f ca="1">IFERROR(H8/H7,"")</f>
        <v/>
      </c>
      <c r="I10" s="35" t="str">
        <f ca="1">IFERROR(I8/I7,"")</f>
        <v/>
      </c>
      <c r="J10" s="35" t="str">
        <f ca="1">IFERROR(J8/J7,"")</f>
        <v/>
      </c>
      <c r="K10" s="35" t="str">
        <f ca="1">IFERROR(K8/K7,"")</f>
        <v/>
      </c>
      <c r="L10" s="3"/>
      <c r="M10" s="3"/>
      <c r="N10" s="3"/>
      <c r="O10" s="3"/>
    </row>
    <row r="11" spans="1:15" ht="12" customHeight="1">
      <c r="A11" s="52"/>
      <c r="B11" s="3"/>
      <c r="C11" s="6"/>
      <c r="D11" s="6"/>
      <c r="E11" s="6"/>
      <c r="F11" s="6"/>
      <c r="G11" s="6"/>
      <c r="H11" s="6"/>
      <c r="I11" s="6"/>
      <c r="J11" s="6"/>
      <c r="K11" s="6"/>
      <c r="L11" s="3"/>
      <c r="M11" s="3"/>
      <c r="N11" s="3"/>
      <c r="O11" s="3"/>
    </row>
    <row r="12" spans="1:15" ht="12" customHeight="1">
      <c r="A12" s="52"/>
      <c r="B12" s="3"/>
      <c r="C12" s="6"/>
      <c r="D12" s="6"/>
      <c r="E12" s="6"/>
      <c r="F12" s="6"/>
      <c r="G12" s="6"/>
      <c r="H12" s="6"/>
      <c r="I12" s="6"/>
      <c r="J12" s="6"/>
      <c r="K12" s="6"/>
      <c r="L12" s="3"/>
      <c r="M12" s="3"/>
      <c r="N12" s="3"/>
      <c r="O12" s="3"/>
    </row>
    <row r="13" spans="1:15" ht="13.4" customHeight="1">
      <c r="A13" s="106" t="s">
        <v>298</v>
      </c>
      <c r="B13" s="106"/>
      <c r="C13" s="107"/>
      <c r="D13" s="107"/>
      <c r="E13" s="107"/>
      <c r="F13" s="107"/>
      <c r="G13" s="107"/>
      <c r="H13" s="107"/>
      <c r="I13" s="107"/>
      <c r="J13" s="107"/>
      <c r="K13" s="107"/>
      <c r="L13" s="3"/>
      <c r="M13" s="3"/>
      <c r="N13" s="3"/>
      <c r="O13" s="3"/>
    </row>
    <row r="14" spans="1:15" ht="12" customHeight="1">
      <c r="A14" s="52" t="s">
        <v>17</v>
      </c>
      <c r="B14" s="3"/>
      <c r="C14" s="82" t="str">
        <f ca="1">IFERROR(INDIRECT("'Revenue_YAU'!C15"),"")</f>
        <v/>
      </c>
      <c r="D14" s="82" t="str">
        <f ca="1">IFERROR(INDIRECT("'Revenue_YAU'!D15"),"")</f>
        <v/>
      </c>
      <c r="E14" s="82" t="str">
        <f ca="1">IFERROR(INDIRECT("'Revenue_YAU'!E15"),"")</f>
        <v/>
      </c>
      <c r="F14" s="82" t="str">
        <f ca="1">IFERROR(INDIRECT("'Revenue_YAU'!F15"),"")</f>
        <v/>
      </c>
      <c r="G14" s="82" t="str">
        <f ca="1">IFERROR(INDIRECT("'Revenue_YAU'!G15"),"")</f>
        <v/>
      </c>
      <c r="H14" s="82" t="str">
        <f ca="1">IFERROR(INDIRECT("'Revenue_YAU'!H15"),"")</f>
        <v/>
      </c>
      <c r="I14" s="82" t="str">
        <f ca="1">IFERROR(INDIRECT("'Revenue_YAU'!I15"),"")</f>
        <v/>
      </c>
      <c r="J14" s="82" t="str">
        <f ca="1">IFERROR(INDIRECT("'Revenue_YAU'!J15"),"")</f>
        <v/>
      </c>
      <c r="K14" s="82" t="str">
        <f ca="1">IFERROR(INDIRECT("'Revenue_YAU'!K15"),"")</f>
        <v/>
      </c>
      <c r="L14" s="3"/>
      <c r="M14" s="3"/>
      <c r="N14" s="3"/>
      <c r="O14" s="3"/>
    </row>
    <row r="15" spans="1:15" ht="12" customHeight="1">
      <c r="A15" s="52" t="s">
        <v>181</v>
      </c>
      <c r="B15" s="3"/>
      <c r="C15" s="82" t="str">
        <f ca="1">IF(C14="","",IFERROR(INDIRECT("'Expenses_Y'!C11"),0))</f>
        <v/>
      </c>
      <c r="D15" s="82" t="str">
        <f ca="1">IF(D14="","",IFERROR(INDIRECT("'Expenses_Y'!D11"),0))</f>
        <v/>
      </c>
      <c r="E15" s="82" t="str">
        <f ca="1">IF(E14="","",IFERROR(INDIRECT("'Expenses_Y'!E11"),0))</f>
        <v/>
      </c>
      <c r="F15" s="82" t="str">
        <f ca="1">IF(F14="","",IFERROR(INDIRECT("'Expenses_Y'!F11"),0))</f>
        <v/>
      </c>
      <c r="G15" s="82" t="str">
        <f ca="1">IF(G14="","",IFERROR(INDIRECT("'Expenses_Y'!G11"),0))</f>
        <v/>
      </c>
      <c r="H15" s="82" t="str">
        <f ca="1">IF(H14="","",IFERROR(INDIRECT("'Expenses_Y'!H11"),0))</f>
        <v/>
      </c>
      <c r="I15" s="82" t="str">
        <f ca="1">IF(I14="","",IFERROR(INDIRECT("'Expenses_Y'!I11"),0))</f>
        <v/>
      </c>
      <c r="J15" s="82" t="str">
        <f ca="1">IF(J14="","",IFERROR(INDIRECT("'Expenses_Y'!J11"),0))</f>
        <v/>
      </c>
      <c r="K15" s="82" t="str">
        <f ca="1">IF(K14="","",IFERROR(INDIRECT("'Expenses_Y'!K11"),0))</f>
        <v/>
      </c>
      <c r="L15" s="3"/>
      <c r="M15" s="3"/>
      <c r="N15" s="3"/>
      <c r="O15" s="3"/>
    </row>
    <row r="16" spans="1:15" ht="12" customHeight="1">
      <c r="A16" s="37" t="s">
        <v>299</v>
      </c>
      <c r="B16" s="7"/>
      <c r="C16" s="39" t="str">
        <f t="shared" ref="C16:K16" ca="1" si="0">IF(C14="","",C14-C15)</f>
        <v/>
      </c>
      <c r="D16" s="39" t="str">
        <f t="shared" ca="1" si="0"/>
        <v/>
      </c>
      <c r="E16" s="39" t="str">
        <f t="shared" ca="1" si="0"/>
        <v/>
      </c>
      <c r="F16" s="39" t="str">
        <f t="shared" ca="1" si="0"/>
        <v/>
      </c>
      <c r="G16" s="39" t="str">
        <f t="shared" ca="1" si="0"/>
        <v/>
      </c>
      <c r="H16" s="39" t="str">
        <f t="shared" ca="1" si="0"/>
        <v/>
      </c>
      <c r="I16" s="39" t="str">
        <f t="shared" ca="1" si="0"/>
        <v/>
      </c>
      <c r="J16" s="39" t="str">
        <f t="shared" ca="1" si="0"/>
        <v/>
      </c>
      <c r="K16" s="39" t="str">
        <f t="shared" ca="1" si="0"/>
        <v/>
      </c>
      <c r="L16" s="3"/>
      <c r="M16" s="3"/>
      <c r="N16" s="3"/>
      <c r="O16" s="3"/>
    </row>
    <row r="17" spans="1:15" ht="12" customHeight="1">
      <c r="A17" s="52" t="s">
        <v>300</v>
      </c>
      <c r="B17" s="3"/>
      <c r="C17" s="35" t="str">
        <f t="shared" ref="C17:K17" ca="1" si="1">IFERROR(C16/C14,"")</f>
        <v/>
      </c>
      <c r="D17" s="35" t="str">
        <f t="shared" ca="1" si="1"/>
        <v/>
      </c>
      <c r="E17" s="35" t="str">
        <f t="shared" ca="1" si="1"/>
        <v/>
      </c>
      <c r="F17" s="35" t="str">
        <f t="shared" ca="1" si="1"/>
        <v/>
      </c>
      <c r="G17" s="35" t="str">
        <f t="shared" ca="1" si="1"/>
        <v/>
      </c>
      <c r="H17" s="35" t="str">
        <f t="shared" ca="1" si="1"/>
        <v/>
      </c>
      <c r="I17" s="35" t="str">
        <f t="shared" ca="1" si="1"/>
        <v/>
      </c>
      <c r="J17" s="35" t="str">
        <f t="shared" ca="1" si="1"/>
        <v/>
      </c>
      <c r="K17" s="35" t="str">
        <f t="shared" ca="1" si="1"/>
        <v/>
      </c>
      <c r="L17" s="3"/>
      <c r="M17" s="3"/>
      <c r="N17" s="3"/>
      <c r="O17" s="3"/>
    </row>
    <row r="18" spans="1:15" ht="12" customHeight="1">
      <c r="A18" s="52"/>
      <c r="B18" s="3"/>
      <c r="C18" s="6"/>
      <c r="D18" s="6"/>
      <c r="E18" s="6"/>
      <c r="F18" s="6"/>
      <c r="G18" s="6"/>
      <c r="H18" s="6"/>
      <c r="I18" s="6"/>
      <c r="J18" s="6"/>
      <c r="K18" s="6"/>
      <c r="L18" s="3"/>
      <c r="M18" s="3"/>
      <c r="N18" s="3"/>
      <c r="O18" s="3"/>
    </row>
    <row r="19" spans="1:15" ht="12" customHeight="1">
      <c r="A19" s="52" t="s">
        <v>179</v>
      </c>
      <c r="B19" s="3"/>
      <c r="C19" s="82" t="str">
        <f ca="1">IF(C14="","",IFERROR(INDIRECT("'Expenses_Y'!C7"),0))</f>
        <v/>
      </c>
      <c r="D19" s="82" t="str">
        <f ca="1">IF(D14="","",IFERROR(INDIRECT("'Expenses_Y'!D7"),0))</f>
        <v/>
      </c>
      <c r="E19" s="82" t="str">
        <f ca="1">IF(E14="","",IFERROR(INDIRECT("'Expenses_Y'!E7"),0))</f>
        <v/>
      </c>
      <c r="F19" s="82" t="str">
        <f ca="1">IF(F14="","",IFERROR(INDIRECT("'Expenses_Y'!F7"),0))</f>
        <v/>
      </c>
      <c r="G19" s="82" t="str">
        <f ca="1">IF(G14="","",IFERROR(INDIRECT("'Expenses_Y'!G7"),0))</f>
        <v/>
      </c>
      <c r="H19" s="82" t="str">
        <f ca="1">IF(H14="","",IFERROR(INDIRECT("'Expenses_Y'!H7"),0))</f>
        <v/>
      </c>
      <c r="I19" s="82" t="str">
        <f ca="1">IF(I14="","",IFERROR(INDIRECT("'Expenses_Y'!I7"),0))</f>
        <v/>
      </c>
      <c r="J19" s="82" t="str">
        <f ca="1">IF(J14="","",IFERROR(INDIRECT("'Expenses_Y'!J7"),0))</f>
        <v/>
      </c>
      <c r="K19" s="82" t="str">
        <f ca="1">IF(K14="","",IFERROR(INDIRECT("'Expenses_Y'!K7"),0))</f>
        <v/>
      </c>
      <c r="L19" s="3"/>
      <c r="M19" s="3"/>
      <c r="N19" s="3"/>
      <c r="O19" s="3"/>
    </row>
    <row r="20" spans="1:15" ht="12" customHeight="1">
      <c r="A20" s="52" t="s">
        <v>180</v>
      </c>
      <c r="B20" s="3"/>
      <c r="C20" s="82" t="str">
        <f ca="1">IF(C14="","",IFERROR(INDIRECT("'Expenses_Y'!C8"),0))</f>
        <v/>
      </c>
      <c r="D20" s="82" t="str">
        <f ca="1">IF(D14="","",IFERROR(INDIRECT("'Expenses_Y'!D8"),0))</f>
        <v/>
      </c>
      <c r="E20" s="82" t="str">
        <f ca="1">IF(E14="","",IFERROR(INDIRECT("'Expenses_Y'!E8"),0))</f>
        <v/>
      </c>
      <c r="F20" s="82" t="str">
        <f ca="1">IF(F14="","",IFERROR(INDIRECT("'Expenses_Y'!F8"),0))</f>
        <v/>
      </c>
      <c r="G20" s="82" t="str">
        <f ca="1">IF(G14="","",IFERROR(INDIRECT("'Expenses_Y'!G8"),0))</f>
        <v/>
      </c>
      <c r="H20" s="82" t="str">
        <f ca="1">IF(H14="","",IFERROR(INDIRECT("'Expenses_Y'!H8"),0))</f>
        <v/>
      </c>
      <c r="I20" s="82" t="str">
        <f ca="1">IF(I14="","",IFERROR(INDIRECT("'Expenses_Y'!I8"),0))</f>
        <v/>
      </c>
      <c r="J20" s="82" t="str">
        <f ca="1">IF(J14="","",IFERROR(INDIRECT("'Expenses_Y'!J8"),0))</f>
        <v/>
      </c>
      <c r="K20" s="82" t="str">
        <f ca="1">IF(K14="","",IFERROR(INDIRECT("'Expenses_Y'!K8"),0))</f>
        <v/>
      </c>
      <c r="L20" s="3"/>
      <c r="M20" s="3"/>
      <c r="N20" s="3"/>
      <c r="O20" s="3"/>
    </row>
    <row r="21" spans="1:15" ht="12" customHeight="1">
      <c r="A21" s="52" t="s">
        <v>12</v>
      </c>
      <c r="B21" s="3"/>
      <c r="C21" s="82" t="str">
        <f ca="1">IF(C14="","",IFERROR(INDIRECT("'Expenses_Y'!C9"),0))</f>
        <v/>
      </c>
      <c r="D21" s="82" t="str">
        <f ca="1">IF(D14="","",IFERROR(INDIRECT("'Expenses_Y'!D9"),0))</f>
        <v/>
      </c>
      <c r="E21" s="82" t="str">
        <f ca="1">IF(E14="","",IFERROR(INDIRECT("'Expenses_Y'!E9"),0))</f>
        <v/>
      </c>
      <c r="F21" s="82" t="str">
        <f ca="1">IF(F14="","",IFERROR(INDIRECT("'Expenses_Y'!F9"),0))</f>
        <v/>
      </c>
      <c r="G21" s="82" t="str">
        <f ca="1">IF(G14="","",IFERROR(INDIRECT("'Expenses_Y'!G9"),0))</f>
        <v/>
      </c>
      <c r="H21" s="82" t="str">
        <f ca="1">IF(H14="","",IFERROR(INDIRECT("'Expenses_Y'!H9"),0))</f>
        <v/>
      </c>
      <c r="I21" s="82" t="str">
        <f ca="1">IF(I14="","",IFERROR(INDIRECT("'Expenses_Y'!I9"),0))</f>
        <v/>
      </c>
      <c r="J21" s="82" t="str">
        <f ca="1">IF(J14="","",IFERROR(INDIRECT("'Expenses_Y'!J9"),0))</f>
        <v/>
      </c>
      <c r="K21" s="82" t="str">
        <f ca="1">IF(K14="","",IFERROR(INDIRECT("'Expenses_Y'!K9"),0))</f>
        <v/>
      </c>
      <c r="L21" s="3"/>
      <c r="M21" s="3"/>
      <c r="N21" s="3"/>
      <c r="O21" s="3"/>
    </row>
    <row r="22" spans="1:15" ht="12" customHeight="1">
      <c r="A22" s="52" t="s">
        <v>8</v>
      </c>
      <c r="B22" s="3"/>
      <c r="C22" s="82" t="str">
        <f ca="1">IF(C14="","",IFERROR(INDIRECT("'Expenses_Y'!C10"),0))</f>
        <v/>
      </c>
      <c r="D22" s="82" t="str">
        <f ca="1">IF(D14="","",IFERROR(INDIRECT("'Expenses_Y'!D10"),0))</f>
        <v/>
      </c>
      <c r="E22" s="82" t="str">
        <f ca="1">IF(E14="","",IFERROR(INDIRECT("'Expenses_Y'!E10"),0))</f>
        <v/>
      </c>
      <c r="F22" s="82" t="str">
        <f ca="1">IF(F14="","",IFERROR(INDIRECT("'Expenses_Y'!F10"),0))</f>
        <v/>
      </c>
      <c r="G22" s="82" t="str">
        <f ca="1">IF(G14="","",IFERROR(INDIRECT("'Expenses_Y'!G10"),0))</f>
        <v/>
      </c>
      <c r="H22" s="82" t="str">
        <f ca="1">IF(H14="","",IFERROR(INDIRECT("'Expenses_Y'!H10"),0))</f>
        <v/>
      </c>
      <c r="I22" s="82" t="str">
        <f ca="1">IF(I14="","",IFERROR(INDIRECT("'Expenses_Y'!I10"),0))</f>
        <v/>
      </c>
      <c r="J22" s="82" t="str">
        <f ca="1">IF(J14="","",IFERROR(INDIRECT("'Expenses_Y'!J10"),0))</f>
        <v/>
      </c>
      <c r="K22" s="82" t="str">
        <f ca="1">IF(K14="","",IFERROR(INDIRECT("'Expenses_Y'!K10"),0))</f>
        <v/>
      </c>
      <c r="L22" s="3"/>
      <c r="M22" s="3"/>
      <c r="N22" s="3"/>
      <c r="O22" s="3"/>
    </row>
    <row r="23" spans="1:15" ht="12" customHeight="1">
      <c r="A23" s="37" t="s">
        <v>301</v>
      </c>
      <c r="B23" s="7"/>
      <c r="C23" s="39" t="str">
        <f t="shared" ref="C23:K23" ca="1" si="2">IF(C14="","",SUM(C19:C22))</f>
        <v/>
      </c>
      <c r="D23" s="39" t="str">
        <f t="shared" ca="1" si="2"/>
        <v/>
      </c>
      <c r="E23" s="39" t="str">
        <f t="shared" ca="1" si="2"/>
        <v/>
      </c>
      <c r="F23" s="39" t="str">
        <f t="shared" ca="1" si="2"/>
        <v/>
      </c>
      <c r="G23" s="39" t="str">
        <f t="shared" ca="1" si="2"/>
        <v/>
      </c>
      <c r="H23" s="39" t="str">
        <f t="shared" ca="1" si="2"/>
        <v/>
      </c>
      <c r="I23" s="39" t="str">
        <f t="shared" ca="1" si="2"/>
        <v/>
      </c>
      <c r="J23" s="39" t="str">
        <f t="shared" ca="1" si="2"/>
        <v/>
      </c>
      <c r="K23" s="39" t="str">
        <f t="shared" ca="1" si="2"/>
        <v/>
      </c>
      <c r="L23" s="3"/>
      <c r="M23" s="3"/>
      <c r="N23" s="3"/>
      <c r="O23" s="3"/>
    </row>
    <row r="24" spans="1:15" ht="12" customHeight="1">
      <c r="A24" s="52"/>
      <c r="B24" s="3"/>
      <c r="C24" s="6"/>
      <c r="D24" s="6"/>
      <c r="E24" s="6"/>
      <c r="F24" s="6"/>
      <c r="G24" s="6"/>
      <c r="H24" s="6"/>
      <c r="I24" s="6"/>
      <c r="J24" s="6"/>
      <c r="K24" s="6"/>
      <c r="L24" s="3"/>
      <c r="M24" s="3"/>
      <c r="N24" s="3"/>
      <c r="O24" s="3"/>
    </row>
    <row r="25" spans="1:15" ht="12" customHeight="1">
      <c r="A25" s="37" t="s">
        <v>302</v>
      </c>
      <c r="B25" s="7"/>
      <c r="C25" s="39" t="str">
        <f t="shared" ref="C25:K25" ca="1" si="3">IF(C14="","",C16-C23)</f>
        <v/>
      </c>
      <c r="D25" s="39" t="str">
        <f t="shared" ca="1" si="3"/>
        <v/>
      </c>
      <c r="E25" s="39" t="str">
        <f t="shared" ca="1" si="3"/>
        <v/>
      </c>
      <c r="F25" s="39" t="str">
        <f t="shared" ca="1" si="3"/>
        <v/>
      </c>
      <c r="G25" s="39" t="str">
        <f t="shared" ca="1" si="3"/>
        <v/>
      </c>
      <c r="H25" s="39" t="str">
        <f t="shared" ca="1" si="3"/>
        <v/>
      </c>
      <c r="I25" s="39" t="str">
        <f t="shared" ca="1" si="3"/>
        <v/>
      </c>
      <c r="J25" s="39" t="str">
        <f t="shared" ca="1" si="3"/>
        <v/>
      </c>
      <c r="K25" s="39" t="str">
        <f t="shared" ca="1" si="3"/>
        <v/>
      </c>
      <c r="L25" s="3"/>
      <c r="M25" s="3"/>
      <c r="N25" s="3"/>
      <c r="O25" s="3"/>
    </row>
    <row r="26" spans="1:15" ht="12" customHeight="1">
      <c r="A26" s="52" t="s">
        <v>303</v>
      </c>
      <c r="B26" s="3"/>
      <c r="C26" s="35" t="str">
        <f t="shared" ref="C26:K26" ca="1" si="4">IFERROR(C25/C14,"")</f>
        <v/>
      </c>
      <c r="D26" s="35" t="str">
        <f t="shared" ca="1" si="4"/>
        <v/>
      </c>
      <c r="E26" s="35" t="str">
        <f t="shared" ca="1" si="4"/>
        <v/>
      </c>
      <c r="F26" s="35" t="str">
        <f t="shared" ca="1" si="4"/>
        <v/>
      </c>
      <c r="G26" s="35" t="str">
        <f t="shared" ca="1" si="4"/>
        <v/>
      </c>
      <c r="H26" s="35" t="str">
        <f t="shared" ca="1" si="4"/>
        <v/>
      </c>
      <c r="I26" s="35" t="str">
        <f t="shared" ca="1" si="4"/>
        <v/>
      </c>
      <c r="J26" s="35" t="str">
        <f t="shared" ca="1" si="4"/>
        <v/>
      </c>
      <c r="K26" s="35" t="str">
        <f t="shared" ca="1" si="4"/>
        <v/>
      </c>
      <c r="L26" s="3"/>
      <c r="M26" s="3"/>
      <c r="N26" s="3"/>
      <c r="O26" s="3"/>
    </row>
    <row r="27" spans="1:15" ht="12" customHeight="1">
      <c r="A27" s="52"/>
      <c r="B27" s="3"/>
      <c r="C27" s="6"/>
      <c r="D27" s="6"/>
      <c r="E27" s="6"/>
      <c r="F27" s="6"/>
      <c r="G27" s="6"/>
      <c r="H27" s="6"/>
      <c r="I27" s="6"/>
      <c r="J27" s="6"/>
      <c r="K27" s="6"/>
      <c r="L27" s="3"/>
      <c r="M27" s="3"/>
      <c r="N27" s="3"/>
      <c r="O27" s="3"/>
    </row>
    <row r="28" spans="1:15" ht="12" customHeight="1">
      <c r="A28" s="52" t="s">
        <v>304</v>
      </c>
      <c r="B28" s="3"/>
      <c r="C28" s="40" t="str">
        <f t="shared" ref="C28:K28" ca="1" si="5">IF(C25="","",C25)</f>
        <v/>
      </c>
      <c r="D28" s="40" t="str">
        <f t="shared" ca="1" si="5"/>
        <v/>
      </c>
      <c r="E28" s="40" t="str">
        <f t="shared" ca="1" si="5"/>
        <v/>
      </c>
      <c r="F28" s="40" t="str">
        <f t="shared" ca="1" si="5"/>
        <v/>
      </c>
      <c r="G28" s="40" t="str">
        <f t="shared" ca="1" si="5"/>
        <v/>
      </c>
      <c r="H28" s="40" t="str">
        <f t="shared" ca="1" si="5"/>
        <v/>
      </c>
      <c r="I28" s="40" t="str">
        <f t="shared" ca="1" si="5"/>
        <v/>
      </c>
      <c r="J28" s="40" t="str">
        <f t="shared" ca="1" si="5"/>
        <v/>
      </c>
      <c r="K28" s="40" t="str">
        <f t="shared" ca="1" si="5"/>
        <v/>
      </c>
      <c r="L28" s="3"/>
      <c r="M28" s="3"/>
      <c r="N28" s="3"/>
      <c r="O28" s="3"/>
    </row>
    <row r="29" spans="1:15" ht="12" customHeight="1">
      <c r="A29" s="52" t="s">
        <v>305</v>
      </c>
      <c r="B29" s="3"/>
      <c r="C29" s="40" t="str">
        <f t="shared" ref="C29:K29" ca="1" si="6">IF(C28="","",MAX(0,C28*$N$5))</f>
        <v/>
      </c>
      <c r="D29" s="40" t="str">
        <f t="shared" ca="1" si="6"/>
        <v/>
      </c>
      <c r="E29" s="40" t="str">
        <f t="shared" ca="1" si="6"/>
        <v/>
      </c>
      <c r="F29" s="40" t="str">
        <f t="shared" ca="1" si="6"/>
        <v/>
      </c>
      <c r="G29" s="40" t="str">
        <f t="shared" ca="1" si="6"/>
        <v/>
      </c>
      <c r="H29" s="40" t="str">
        <f t="shared" ca="1" si="6"/>
        <v/>
      </c>
      <c r="I29" s="40" t="str">
        <f t="shared" ca="1" si="6"/>
        <v/>
      </c>
      <c r="J29" s="40" t="str">
        <f t="shared" ca="1" si="6"/>
        <v/>
      </c>
      <c r="K29" s="40" t="str">
        <f t="shared" ca="1" si="6"/>
        <v/>
      </c>
      <c r="L29" s="3"/>
      <c r="M29" s="3"/>
      <c r="N29" s="3"/>
      <c r="O29" s="3"/>
    </row>
    <row r="30" spans="1:15" ht="12" customHeight="1">
      <c r="A30" s="37" t="s">
        <v>306</v>
      </c>
      <c r="B30" s="7"/>
      <c r="C30" s="39" t="str">
        <f t="shared" ref="C30:K30" ca="1" si="7">IF(C28="","",C28-C29)</f>
        <v/>
      </c>
      <c r="D30" s="39" t="str">
        <f t="shared" ca="1" si="7"/>
        <v/>
      </c>
      <c r="E30" s="39" t="str">
        <f t="shared" ca="1" si="7"/>
        <v/>
      </c>
      <c r="F30" s="39" t="str">
        <f t="shared" ca="1" si="7"/>
        <v/>
      </c>
      <c r="G30" s="39" t="str">
        <f t="shared" ca="1" si="7"/>
        <v/>
      </c>
      <c r="H30" s="39" t="str">
        <f t="shared" ca="1" si="7"/>
        <v/>
      </c>
      <c r="I30" s="39" t="str">
        <f t="shared" ca="1" si="7"/>
        <v/>
      </c>
      <c r="J30" s="39" t="str">
        <f t="shared" ca="1" si="7"/>
        <v/>
      </c>
      <c r="K30" s="39" t="str">
        <f t="shared" ca="1" si="7"/>
        <v/>
      </c>
      <c r="L30" s="3"/>
      <c r="M30" s="3"/>
      <c r="N30" s="3"/>
      <c r="O30" s="3"/>
    </row>
    <row r="31" spans="1:15" ht="12" customHeight="1">
      <c r="A31" s="52" t="s">
        <v>307</v>
      </c>
      <c r="B31" s="3"/>
      <c r="C31" s="35" t="str">
        <f t="shared" ref="C31:K31" ca="1" si="8">IFERROR(C30/C14,"")</f>
        <v/>
      </c>
      <c r="D31" s="35" t="str">
        <f t="shared" ca="1" si="8"/>
        <v/>
      </c>
      <c r="E31" s="35" t="str">
        <f t="shared" ca="1" si="8"/>
        <v/>
      </c>
      <c r="F31" s="35" t="str">
        <f t="shared" ca="1" si="8"/>
        <v/>
      </c>
      <c r="G31" s="35" t="str">
        <f t="shared" ca="1" si="8"/>
        <v/>
      </c>
      <c r="H31" s="35" t="str">
        <f t="shared" ca="1" si="8"/>
        <v/>
      </c>
      <c r="I31" s="35" t="str">
        <f t="shared" ca="1" si="8"/>
        <v/>
      </c>
      <c r="J31" s="35" t="str">
        <f t="shared" ca="1" si="8"/>
        <v/>
      </c>
      <c r="K31" s="35" t="str">
        <f t="shared" ca="1" si="8"/>
        <v/>
      </c>
      <c r="L31" s="3"/>
      <c r="M31" s="3"/>
      <c r="N31" s="3"/>
      <c r="O31" s="3"/>
    </row>
    <row r="32" spans="1:15" ht="12" customHeight="1">
      <c r="A32" s="52"/>
      <c r="B32" s="3"/>
      <c r="C32" s="6"/>
      <c r="D32" s="6"/>
      <c r="E32" s="6"/>
      <c r="F32" s="6"/>
      <c r="G32" s="6"/>
      <c r="H32" s="6"/>
      <c r="I32" s="6"/>
      <c r="J32" s="6"/>
      <c r="K32" s="6"/>
      <c r="L32" s="3"/>
      <c r="M32" s="3"/>
      <c r="N32" s="3"/>
      <c r="O32" s="3"/>
    </row>
    <row r="33" spans="1:15" ht="12" customHeight="1">
      <c r="A33" s="52"/>
      <c r="B33" s="3"/>
      <c r="C33" s="6"/>
      <c r="D33" s="6"/>
      <c r="E33" s="6"/>
      <c r="F33" s="6"/>
      <c r="G33" s="6"/>
      <c r="H33" s="6"/>
      <c r="I33" s="6"/>
      <c r="J33" s="6"/>
      <c r="K33" s="6"/>
      <c r="L33" s="3"/>
      <c r="M33" s="3"/>
      <c r="N33" s="3"/>
      <c r="O33" s="3"/>
    </row>
    <row r="34" spans="1:15" ht="13.4" customHeight="1">
      <c r="A34" s="106" t="s">
        <v>308</v>
      </c>
      <c r="B34" s="106"/>
      <c r="C34" s="107"/>
      <c r="D34" s="107"/>
      <c r="E34" s="107"/>
      <c r="F34" s="107"/>
      <c r="G34" s="107"/>
      <c r="H34" s="107"/>
      <c r="I34" s="107"/>
      <c r="J34" s="107"/>
      <c r="K34" s="107"/>
      <c r="L34" s="3"/>
      <c r="M34" s="3"/>
      <c r="N34" s="3"/>
      <c r="O34" s="3"/>
    </row>
    <row r="35" spans="1:15" ht="12" customHeight="1">
      <c r="A35" s="52" t="s">
        <v>17</v>
      </c>
      <c r="B35" s="3"/>
      <c r="C35" s="40"/>
      <c r="D35" s="40"/>
      <c r="E35" s="40"/>
      <c r="F35" s="40"/>
      <c r="G35" s="82">
        <f ca="1">IFERROR(INDIRECT("'Revenue_T'!D12"),"")</f>
        <v>6649.5812967316651</v>
      </c>
      <c r="H35" s="82">
        <f ca="1">IFERROR(INDIRECT("'Revenue_T'!E12"),"")</f>
        <v>44216.931421843597</v>
      </c>
      <c r="I35" s="82">
        <f ca="1">IFERROR(INDIRECT("'Revenue_T'!F12"),"")</f>
        <v>294024.08018155786</v>
      </c>
      <c r="J35" s="82">
        <f ca="1">IFERROR(INDIRECT("'Revenue_T'!G12"),"")</f>
        <v>1955137.024364019</v>
      </c>
      <c r="K35" s="82">
        <f ca="1">IFERROR(INDIRECT("'Revenue_T'!H12"),"")</f>
        <v>13000842.589758582</v>
      </c>
      <c r="L35" s="3"/>
      <c r="M35" s="3"/>
      <c r="N35" s="3"/>
      <c r="O35" s="3"/>
    </row>
    <row r="36" spans="1:15" ht="12" customHeight="1">
      <c r="A36" s="52" t="s">
        <v>181</v>
      </c>
      <c r="B36" s="3"/>
      <c r="C36" s="40"/>
      <c r="D36" s="40"/>
      <c r="E36" s="40"/>
      <c r="F36" s="40"/>
      <c r="G36" s="82">
        <f ca="1">IF(G35="","",IFERROR(INDIRECT("'Expenses_Y'!G11"),0))</f>
        <v>0</v>
      </c>
      <c r="H36" s="82">
        <f ca="1">IF(H35="","",IFERROR(INDIRECT("'Expenses_Y'!H11"),0))</f>
        <v>0</v>
      </c>
      <c r="I36" s="82">
        <f ca="1">IF(I35="","",IFERROR(INDIRECT("'Expenses_Y'!I11"),0))</f>
        <v>0</v>
      </c>
      <c r="J36" s="82">
        <f ca="1">IF(J35="","",IFERROR(INDIRECT("'Expenses_Y'!J11"),0))</f>
        <v>0</v>
      </c>
      <c r="K36" s="82">
        <f ca="1">IF(K35="","",IFERROR(INDIRECT("'Expenses_Y'!K11"),0))</f>
        <v>0</v>
      </c>
      <c r="L36" s="3"/>
      <c r="M36" s="3"/>
      <c r="N36" s="3"/>
      <c r="O36" s="3"/>
    </row>
    <row r="37" spans="1:15" ht="12" customHeight="1">
      <c r="A37" s="37" t="s">
        <v>299</v>
      </c>
      <c r="B37" s="7"/>
      <c r="C37" s="39"/>
      <c r="D37" s="39"/>
      <c r="E37" s="39"/>
      <c r="F37" s="39"/>
      <c r="G37" s="39">
        <f ca="1">IF(G35="","",G35-G36)</f>
        <v>6649.5812967316651</v>
      </c>
      <c r="H37" s="39">
        <f ca="1">IF(H35="","",H35-H36)</f>
        <v>44216.931421843597</v>
      </c>
      <c r="I37" s="39">
        <f ca="1">IF(I35="","",I35-I36)</f>
        <v>294024.08018155786</v>
      </c>
      <c r="J37" s="39">
        <f ca="1">IF(J35="","",J35-J36)</f>
        <v>1955137.024364019</v>
      </c>
      <c r="K37" s="39">
        <f ca="1">IF(K35="","",K35-K36)</f>
        <v>13000842.589758582</v>
      </c>
      <c r="L37" s="3"/>
      <c r="M37" s="3"/>
      <c r="N37" s="3"/>
      <c r="O37" s="3"/>
    </row>
    <row r="38" spans="1:15" ht="12" customHeight="1">
      <c r="A38" s="52" t="s">
        <v>300</v>
      </c>
      <c r="B38" s="3"/>
      <c r="C38" s="35"/>
      <c r="D38" s="35"/>
      <c r="E38" s="35"/>
      <c r="F38" s="35"/>
      <c r="G38" s="35">
        <f ca="1">IFERROR(G37/G35,"")</f>
        <v>1</v>
      </c>
      <c r="H38" s="35">
        <f ca="1">IFERROR(H37/H35,"")</f>
        <v>1</v>
      </c>
      <c r="I38" s="35">
        <f ca="1">IFERROR(I37/I35,"")</f>
        <v>1</v>
      </c>
      <c r="J38" s="35">
        <f ca="1">IFERROR(J37/J35,"")</f>
        <v>1</v>
      </c>
      <c r="K38" s="35">
        <f ca="1">IFERROR(K37/K35,"")</f>
        <v>1</v>
      </c>
      <c r="L38" s="3"/>
      <c r="M38" s="3"/>
      <c r="N38" s="3"/>
      <c r="O38" s="3"/>
    </row>
    <row r="39" spans="1:15" ht="12" customHeight="1">
      <c r="A39" s="52"/>
      <c r="B39" s="3"/>
      <c r="C39" s="6"/>
      <c r="D39" s="6"/>
      <c r="E39" s="6"/>
      <c r="F39" s="6"/>
      <c r="G39" s="6"/>
      <c r="H39" s="6"/>
      <c r="I39" s="6"/>
      <c r="J39" s="6"/>
      <c r="K39" s="6"/>
      <c r="L39" s="3"/>
      <c r="M39" s="3"/>
      <c r="N39" s="3"/>
      <c r="O39" s="3"/>
    </row>
    <row r="40" spans="1:15" ht="12" customHeight="1">
      <c r="A40" s="52" t="s">
        <v>179</v>
      </c>
      <c r="B40" s="3"/>
      <c r="C40" s="40"/>
      <c r="D40" s="40"/>
      <c r="E40" s="40"/>
      <c r="F40" s="40"/>
      <c r="G40" s="82">
        <f ca="1">IF(G35="","",IFERROR(INDIRECT("'Expenses_Y'!G7"),0))</f>
        <v>0</v>
      </c>
      <c r="H40" s="82">
        <f ca="1">IF(H35="","",IFERROR(INDIRECT("'Expenses_Y'!H7"),0))</f>
        <v>0</v>
      </c>
      <c r="I40" s="82">
        <f ca="1">IF(I35="","",IFERROR(INDIRECT("'Expenses_Y'!I7"),0))</f>
        <v>0</v>
      </c>
      <c r="J40" s="82">
        <f ca="1">IF(J35="","",IFERROR(INDIRECT("'Expenses_Y'!J7"),0))</f>
        <v>0</v>
      </c>
      <c r="K40" s="82">
        <f ca="1">IF(K35="","",IFERROR(INDIRECT("'Expenses_Y'!K7"),0))</f>
        <v>0</v>
      </c>
      <c r="L40" s="3"/>
      <c r="M40" s="3"/>
      <c r="N40" s="3"/>
      <c r="O40" s="3"/>
    </row>
    <row r="41" spans="1:15" ht="12" customHeight="1">
      <c r="A41" s="52" t="s">
        <v>180</v>
      </c>
      <c r="B41" s="3"/>
      <c r="C41" s="40"/>
      <c r="D41" s="40"/>
      <c r="E41" s="40"/>
      <c r="F41" s="40"/>
      <c r="G41" s="82">
        <f ca="1">IF(G35="","",IFERROR(INDIRECT("'Expenses_Y'!G8"),0))</f>
        <v>240</v>
      </c>
      <c r="H41" s="82">
        <f ca="1">IF(H35="","",IFERROR(INDIRECT("'Expenses_Y'!H8"),0))</f>
        <v>240</v>
      </c>
      <c r="I41" s="82">
        <f ca="1">IF(I35="","",IFERROR(INDIRECT("'Expenses_Y'!I8"),0))</f>
        <v>240</v>
      </c>
      <c r="J41" s="82">
        <f ca="1">IF(J35="","",IFERROR(INDIRECT("'Expenses_Y'!J8"),0))</f>
        <v>240</v>
      </c>
      <c r="K41" s="82">
        <f ca="1">IF(K35="","",IFERROR(INDIRECT("'Expenses_Y'!K8"),0))</f>
        <v>240</v>
      </c>
      <c r="L41" s="3"/>
      <c r="M41" s="3"/>
      <c r="N41" s="3"/>
      <c r="O41" s="3"/>
    </row>
    <row r="42" spans="1:15" ht="12" customHeight="1">
      <c r="A42" s="52" t="s">
        <v>12</v>
      </c>
      <c r="B42" s="3"/>
      <c r="C42" s="40"/>
      <c r="D42" s="40"/>
      <c r="E42" s="40"/>
      <c r="F42" s="40"/>
      <c r="G42" s="82">
        <f ca="1">IF(G35="","",IFERROR(INDIRECT("'Expenses_Y'!G9"),0))</f>
        <v>0</v>
      </c>
      <c r="H42" s="82">
        <f ca="1">IF(H35="","",IFERROR(INDIRECT("'Expenses_Y'!H9"),0))</f>
        <v>0</v>
      </c>
      <c r="I42" s="82">
        <f ca="1">IF(I35="","",IFERROR(INDIRECT("'Expenses_Y'!I9"),0))</f>
        <v>0</v>
      </c>
      <c r="J42" s="82">
        <f ca="1">IF(J35="","",IFERROR(INDIRECT("'Expenses_Y'!J9"),0))</f>
        <v>0</v>
      </c>
      <c r="K42" s="82">
        <f ca="1">IF(K35="","",IFERROR(INDIRECT("'Expenses_Y'!K9"),0))</f>
        <v>0</v>
      </c>
      <c r="L42" s="3"/>
      <c r="M42" s="3"/>
      <c r="N42" s="3"/>
      <c r="O42" s="3"/>
    </row>
    <row r="43" spans="1:15" ht="12" customHeight="1">
      <c r="A43" s="52" t="s">
        <v>8</v>
      </c>
      <c r="B43" s="3"/>
      <c r="C43" s="40"/>
      <c r="D43" s="40"/>
      <c r="E43" s="40"/>
      <c r="F43" s="40"/>
      <c r="G43" s="82">
        <f ca="1">IF(G35="","",IFERROR(INDIRECT("'Expenses_Y'!G10"),0))</f>
        <v>0</v>
      </c>
      <c r="H43" s="82">
        <f ca="1">IF(H35="","",IFERROR(INDIRECT("'Expenses_Y'!H10"),0))</f>
        <v>0</v>
      </c>
      <c r="I43" s="82">
        <f ca="1">IF(I35="","",IFERROR(INDIRECT("'Expenses_Y'!I10"),0))</f>
        <v>0</v>
      </c>
      <c r="J43" s="82">
        <f ca="1">IF(J35="","",IFERROR(INDIRECT("'Expenses_Y'!J10"),0))</f>
        <v>0</v>
      </c>
      <c r="K43" s="82">
        <f ca="1">IF(K35="","",IFERROR(INDIRECT("'Expenses_Y'!K10"),0))</f>
        <v>0</v>
      </c>
      <c r="L43" s="3"/>
      <c r="M43" s="3"/>
      <c r="N43" s="3"/>
      <c r="O43" s="3"/>
    </row>
    <row r="44" spans="1:15" ht="12" customHeight="1">
      <c r="A44" s="37" t="s">
        <v>301</v>
      </c>
      <c r="B44" s="7"/>
      <c r="C44" s="39"/>
      <c r="D44" s="39"/>
      <c r="E44" s="39"/>
      <c r="F44" s="39"/>
      <c r="G44" s="39">
        <f ca="1">IF(G35="","",SUM(G40:G43))</f>
        <v>240</v>
      </c>
      <c r="H44" s="39">
        <f ca="1">IF(H35="","",SUM(H40:H43))</f>
        <v>240</v>
      </c>
      <c r="I44" s="39">
        <f ca="1">IF(I35="","",SUM(I40:I43))</f>
        <v>240</v>
      </c>
      <c r="J44" s="39">
        <f ca="1">IF(J35="","",SUM(J40:J43))</f>
        <v>240</v>
      </c>
      <c r="K44" s="39">
        <f ca="1">IF(K35="","",SUM(K40:K43))</f>
        <v>240</v>
      </c>
      <c r="L44" s="3"/>
      <c r="M44" s="3"/>
      <c r="N44" s="3"/>
      <c r="O44" s="3"/>
    </row>
    <row r="45" spans="1:15" ht="12" customHeight="1">
      <c r="A45" s="52"/>
      <c r="B45" s="3"/>
      <c r="C45" s="6"/>
      <c r="D45" s="6"/>
      <c r="E45" s="6"/>
      <c r="F45" s="6"/>
      <c r="G45" s="6"/>
      <c r="H45" s="6"/>
      <c r="I45" s="6"/>
      <c r="J45" s="6"/>
      <c r="K45" s="6"/>
      <c r="L45" s="3"/>
      <c r="M45" s="3"/>
      <c r="N45" s="3"/>
      <c r="O45" s="3"/>
    </row>
    <row r="46" spans="1:15" ht="12" customHeight="1">
      <c r="A46" s="37" t="s">
        <v>302</v>
      </c>
      <c r="B46" s="7"/>
      <c r="C46" s="39"/>
      <c r="D46" s="39"/>
      <c r="E46" s="39"/>
      <c r="F46" s="39"/>
      <c r="G46" s="39">
        <f ca="1">IF(G35="","",G37-G44)</f>
        <v>6409.5812967316651</v>
      </c>
      <c r="H46" s="39">
        <f ca="1">IF(H35="","",H37-H44)</f>
        <v>43976.931421843597</v>
      </c>
      <c r="I46" s="39">
        <f ca="1">IF(I35="","",I37-I44)</f>
        <v>293784.08018155786</v>
      </c>
      <c r="J46" s="39">
        <f ca="1">IF(J35="","",J37-J44)</f>
        <v>1954897.024364019</v>
      </c>
      <c r="K46" s="39">
        <f ca="1">IF(K35="","",K37-K44)</f>
        <v>13000602.589758582</v>
      </c>
      <c r="L46" s="3"/>
      <c r="M46" s="3"/>
      <c r="N46" s="3"/>
      <c r="O46" s="3"/>
    </row>
    <row r="47" spans="1:15" ht="12" customHeight="1">
      <c r="A47" s="52" t="s">
        <v>303</v>
      </c>
      <c r="B47" s="3"/>
      <c r="C47" s="35"/>
      <c r="D47" s="35"/>
      <c r="E47" s="35"/>
      <c r="F47" s="35"/>
      <c r="G47" s="35">
        <f ca="1">IFERROR(G46/G35,"")</f>
        <v>0.96390750194783503</v>
      </c>
      <c r="H47" s="35">
        <f ca="1">IFERROR(H46/H35,"")</f>
        <v>0.99457221493481029</v>
      </c>
      <c r="I47" s="35">
        <f ca="1">IFERROR(I46/I35,"")</f>
        <v>0.9991837403254461</v>
      </c>
      <c r="J47" s="35">
        <f ca="1">IFERROR(J46/J35,"")</f>
        <v>0.9998772464553588</v>
      </c>
      <c r="K47" s="35">
        <f ca="1">IFERROR(K46/K35,"")</f>
        <v>0.99998153965803804</v>
      </c>
      <c r="L47" s="3"/>
      <c r="M47" s="3"/>
      <c r="N47" s="3"/>
      <c r="O47" s="3"/>
    </row>
    <row r="48" spans="1:15" ht="12" customHeight="1">
      <c r="A48" s="52"/>
      <c r="B48" s="3"/>
      <c r="C48" s="6"/>
      <c r="D48" s="6"/>
      <c r="E48" s="6"/>
      <c r="F48" s="6"/>
      <c r="G48" s="6"/>
      <c r="H48" s="6"/>
      <c r="I48" s="6"/>
      <c r="J48" s="6"/>
      <c r="K48" s="6"/>
      <c r="L48" s="3"/>
      <c r="M48" s="3"/>
      <c r="N48" s="3"/>
      <c r="O48" s="3"/>
    </row>
    <row r="49" spans="1:15" ht="12" customHeight="1">
      <c r="A49" s="52" t="s">
        <v>304</v>
      </c>
      <c r="B49" s="3"/>
      <c r="C49" s="40"/>
      <c r="D49" s="40"/>
      <c r="E49" s="40"/>
      <c r="F49" s="40"/>
      <c r="G49" s="40">
        <f ca="1">IF(G46="","",G46)</f>
        <v>6409.5812967316651</v>
      </c>
      <c r="H49" s="40">
        <f ca="1">IF(H46="","",H46)</f>
        <v>43976.931421843597</v>
      </c>
      <c r="I49" s="40">
        <f ca="1">IF(I46="","",I46)</f>
        <v>293784.08018155786</v>
      </c>
      <c r="J49" s="40">
        <f ca="1">IF(J46="","",J46)</f>
        <v>1954897.024364019</v>
      </c>
      <c r="K49" s="40">
        <f ca="1">IF(K46="","",K46)</f>
        <v>13000602.589758582</v>
      </c>
      <c r="L49" s="3"/>
      <c r="M49" s="3"/>
      <c r="N49" s="3"/>
      <c r="O49" s="3"/>
    </row>
    <row r="50" spans="1:15" ht="12" customHeight="1">
      <c r="A50" s="52" t="s">
        <v>305</v>
      </c>
      <c r="B50" s="3"/>
      <c r="C50" s="40"/>
      <c r="D50" s="40"/>
      <c r="E50" s="40"/>
      <c r="F50" s="40"/>
      <c r="G50" s="40">
        <f ca="1">IF(G49="","",MAX(0,G49*$N$5))</f>
        <v>1346.0120723136497</v>
      </c>
      <c r="H50" s="40">
        <f ca="1">IF(H49="","",MAX(0,H49*$N$5))</f>
        <v>9235.1555985871546</v>
      </c>
      <c r="I50" s="40">
        <f ca="1">IF(I49="","",MAX(0,I49*$N$5))</f>
        <v>61694.65683812715</v>
      </c>
      <c r="J50" s="40">
        <f ca="1">IF(J49="","",MAX(0,J49*$N$5))</f>
        <v>410528.37511644396</v>
      </c>
      <c r="K50" s="40">
        <f ca="1">IF(K49="","",MAX(0,K49*$N$5))</f>
        <v>2730126.543849302</v>
      </c>
      <c r="L50" s="3"/>
      <c r="M50" s="3"/>
      <c r="N50" s="3"/>
      <c r="O50" s="3"/>
    </row>
    <row r="51" spans="1:15" ht="12" customHeight="1">
      <c r="A51" s="37" t="s">
        <v>306</v>
      </c>
      <c r="B51" s="7"/>
      <c r="C51" s="39"/>
      <c r="D51" s="39"/>
      <c r="E51" s="39"/>
      <c r="F51" s="39"/>
      <c r="G51" s="39">
        <f ca="1">IF(G49="","",G49-G50)</f>
        <v>5063.5692244180154</v>
      </c>
      <c r="H51" s="39">
        <f ca="1">IF(H49="","",H49-H50)</f>
        <v>34741.775823256445</v>
      </c>
      <c r="I51" s="39">
        <f ca="1">IF(I49="","",I49-I50)</f>
        <v>232089.42334343071</v>
      </c>
      <c r="J51" s="39">
        <f ca="1">IF(J49="","",J49-J50)</f>
        <v>1544368.6492475751</v>
      </c>
      <c r="K51" s="39">
        <f ca="1">IF(K49="","",K49-K50)</f>
        <v>10270476.04590928</v>
      </c>
      <c r="L51" s="3"/>
      <c r="M51" s="3"/>
      <c r="N51" s="3"/>
      <c r="O51" s="3"/>
    </row>
    <row r="52" spans="1:15" ht="12" customHeight="1">
      <c r="A52" s="52" t="s">
        <v>307</v>
      </c>
      <c r="B52" s="3"/>
      <c r="C52" s="35"/>
      <c r="D52" s="35"/>
      <c r="E52" s="35"/>
      <c r="F52" s="35"/>
      <c r="G52" s="35">
        <f ca="1">IFERROR(G51/G35,"")</f>
        <v>0.76148692653878969</v>
      </c>
      <c r="H52" s="35">
        <f ca="1">IFERROR(H51/H35,"")</f>
        <v>0.78571204979850018</v>
      </c>
      <c r="I52" s="35">
        <f ca="1">IFERROR(I51/I35,"")</f>
        <v>0.78935515485710239</v>
      </c>
      <c r="J52" s="35">
        <f ca="1">IFERROR(J51/J35,"")</f>
        <v>0.78990302469973339</v>
      </c>
      <c r="K52" s="35">
        <f ca="1">IFERROR(K51/K35,"")</f>
        <v>0.78998541632985009</v>
      </c>
      <c r="L52" s="3"/>
      <c r="M52" s="3"/>
      <c r="N52" s="3"/>
      <c r="O52" s="3"/>
    </row>
    <row r="53" spans="1:15" ht="12" customHeight="1">
      <c r="A53" s="52"/>
      <c r="B53" s="3"/>
      <c r="C53" s="6"/>
      <c r="D53" s="6"/>
      <c r="E53" s="6"/>
      <c r="F53" s="6"/>
      <c r="G53" s="6"/>
      <c r="H53" s="6"/>
      <c r="I53" s="6"/>
      <c r="J53" s="6"/>
      <c r="K53" s="6"/>
      <c r="L53" s="3"/>
      <c r="M53" s="3"/>
      <c r="N53" s="3"/>
      <c r="O53" s="3"/>
    </row>
    <row r="54" spans="1:15" ht="12" customHeight="1">
      <c r="A54" s="52"/>
      <c r="B54" s="3"/>
      <c r="C54" s="6"/>
      <c r="D54" s="6"/>
      <c r="E54" s="6"/>
      <c r="F54" s="6"/>
      <c r="G54" s="6"/>
      <c r="H54" s="6"/>
      <c r="I54" s="6"/>
      <c r="J54" s="6"/>
      <c r="K54" s="6"/>
      <c r="L54" s="3"/>
      <c r="M54" s="3"/>
      <c r="N54" s="3"/>
      <c r="O54" s="3"/>
    </row>
    <row r="55" spans="1:15" ht="13.4" customHeight="1">
      <c r="A55" s="106" t="s">
        <v>154</v>
      </c>
      <c r="B55" s="106"/>
      <c r="C55" s="107"/>
      <c r="D55" s="107"/>
      <c r="E55" s="107"/>
      <c r="F55" s="107"/>
      <c r="G55" s="107"/>
      <c r="H55" s="107"/>
      <c r="I55" s="107"/>
      <c r="J55" s="107"/>
      <c r="K55" s="107"/>
      <c r="L55" s="106"/>
      <c r="M55" s="106"/>
      <c r="N55" s="106"/>
      <c r="O55" s="106"/>
    </row>
    <row r="56" spans="1:15" ht="12" customHeight="1">
      <c r="A56" s="102" t="s">
        <v>309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</row>
    <row r="57" spans="1:15" ht="12" customHeight="1">
      <c r="A57" s="102" t="s">
        <v>310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</row>
    <row r="58" spans="1:15" ht="12" customHeight="1">
      <c r="A58" s="102" t="s">
        <v>311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</row>
    <row r="59" spans="1:15" ht="12" customHeight="1">
      <c r="A59" s="102" t="s">
        <v>312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</row>
    <row r="60" spans="1:15" ht="12" customHeight="1">
      <c r="A60" s="102" t="s">
        <v>313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</row>
  </sheetData>
  <mergeCells count="12">
    <mergeCell ref="A60:O60"/>
    <mergeCell ref="M2:O2"/>
    <mergeCell ref="A4:K4"/>
    <mergeCell ref="A6:K6"/>
    <mergeCell ref="N6:O6"/>
    <mergeCell ref="A13:K13"/>
    <mergeCell ref="A34:K34"/>
    <mergeCell ref="A55:O55"/>
    <mergeCell ref="A56:O56"/>
    <mergeCell ref="A57:O57"/>
    <mergeCell ref="A58:O58"/>
    <mergeCell ref="A59:O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196"/>
  <sheetViews>
    <sheetView tabSelected="1" zoomScale="80" zoomScaleNormal="80" workbookViewId="0">
      <selection activeCell="A15" sqref="A15:R15"/>
    </sheetView>
  </sheetViews>
  <sheetFormatPr defaultRowHeight="13"/>
  <cols>
    <col min="1" max="1" width="32.6640625" style="5" customWidth="1"/>
    <col min="2" max="2" width="8.25" style="5" bestFit="1" customWidth="1"/>
    <col min="3" max="3" width="8.1640625" style="5" bestFit="1" customWidth="1"/>
    <col min="4" max="4" width="9.9140625" style="5" bestFit="1" customWidth="1"/>
    <col min="5" max="6" width="8.1640625" style="5" bestFit="1" customWidth="1"/>
    <col min="7" max="7" width="8.25" style="5" bestFit="1" customWidth="1"/>
    <col min="8" max="8" width="9.08203125" style="5" bestFit="1" customWidth="1"/>
    <col min="9" max="9" width="10.5" style="5" bestFit="1" customWidth="1"/>
    <col min="10" max="10" width="11.75" style="5" bestFit="1" customWidth="1"/>
    <col min="11" max="11" width="10.5" style="5" bestFit="1" customWidth="1"/>
    <col min="12" max="12" width="11.1640625" style="5" bestFit="1" customWidth="1"/>
    <col min="13" max="13" width="11.75" style="5" bestFit="1" customWidth="1"/>
    <col min="14" max="18" width="13" style="5" customWidth="1"/>
    <col min="19" max="16380" width="8.6640625" style="5"/>
    <col min="16381" max="16382" width="4.83203125" style="5" bestFit="1" customWidth="1"/>
    <col min="16383" max="16383" width="4.4140625" style="5" bestFit="1" customWidth="1"/>
    <col min="16384" max="16384" width="3.25" style="5" bestFit="1" customWidth="1"/>
  </cols>
  <sheetData>
    <row r="1" spans="1:18 16381:16384">
      <c r="A1" s="1"/>
      <c r="B1" s="1"/>
      <c r="C1" s="25" t="s">
        <v>113</v>
      </c>
      <c r="D1" s="25" t="str">
        <f>IF(1&lt;=$B$24,"2027F","")</f>
        <v>2027F</v>
      </c>
      <c r="E1" s="25" t="str">
        <f>IF(2&lt;=$B$24,"2028F","")</f>
        <v>2028F</v>
      </c>
      <c r="F1" s="25" t="str">
        <f>IF(3&lt;=$B$24,"2029F","")</f>
        <v>2029F</v>
      </c>
      <c r="G1" s="25" t="str">
        <f>IF(4&lt;=$B$24,"2030F","")</f>
        <v>2030F</v>
      </c>
      <c r="H1" s="25" t="str">
        <f>IF(5&lt;=$B$24,"2031F","")</f>
        <v>2031F</v>
      </c>
      <c r="I1" s="25" t="str">
        <f>IF(6&lt;=$B$24,"2032F","")</f>
        <v>2032F</v>
      </c>
      <c r="J1" s="25" t="str">
        <f>IF(7&lt;=$B$24,"2033F","")</f>
        <v>2033F</v>
      </c>
      <c r="K1" s="25" t="str">
        <f>IF(8&lt;=$B$24,"2034F","")</f>
        <v/>
      </c>
      <c r="L1" s="25" t="str">
        <f>IF(9&lt;=$B$24,"2035F","")</f>
        <v/>
      </c>
      <c r="M1" s="25" t="str">
        <f>IF(10&lt;=$B$24,"2036F","")</f>
        <v/>
      </c>
      <c r="N1" s="25" t="str">
        <f>IF(11&lt;=$B$24,"2037F","")</f>
        <v/>
      </c>
      <c r="O1" s="25" t="str">
        <f>IF(12&lt;=$B$24,"2038F","")</f>
        <v/>
      </c>
      <c r="P1" s="25" t="str">
        <f>IF(13&lt;=$B$24,"2039F","")</f>
        <v/>
      </c>
      <c r="Q1" s="25" t="str">
        <f>IF(14&lt;=$B$24,"2040F","")</f>
        <v/>
      </c>
      <c r="R1" s="25" t="str">
        <f>IF(15&lt;=$B$24,"2041F","")</f>
        <v/>
      </c>
      <c r="XFA1" s="27">
        <v>1E-3</v>
      </c>
      <c r="XFB1" s="27">
        <v>0.05</v>
      </c>
      <c r="XFC1" s="28">
        <v>0.05</v>
      </c>
      <c r="XFD1" s="20">
        <v>100</v>
      </c>
    </row>
    <row r="2" spans="1:18 16381:16384">
      <c r="A2" s="1"/>
      <c r="B2" s="1"/>
      <c r="C2" s="4" t="s">
        <v>0</v>
      </c>
      <c r="D2" s="4" t="str">
        <f>IF(D$1&lt;&gt;"","Forecast","")</f>
        <v>Forecast</v>
      </c>
      <c r="E2" s="4" t="str">
        <f>IF(E$1&lt;&gt;"","Forecast","")</f>
        <v>Forecast</v>
      </c>
      <c r="F2" s="4" t="str">
        <f>IF(F$1&lt;&gt;"","Forecast","")</f>
        <v>Forecast</v>
      </c>
      <c r="G2" s="4" t="str">
        <f>IF(G$1&lt;&gt;"","Forecast","")</f>
        <v>Forecast</v>
      </c>
      <c r="H2" s="4" t="str">
        <f>IF(H$1&lt;&gt;"","Forecast","")</f>
        <v>Forecast</v>
      </c>
      <c r="I2" s="4" t="str">
        <f>IF(I$1&lt;&gt;"","Forecast","")</f>
        <v>Forecast</v>
      </c>
      <c r="J2" s="4" t="str">
        <f>IF(J$1&lt;&gt;"","Forecast","")</f>
        <v>Forecast</v>
      </c>
      <c r="K2" s="4" t="str">
        <f>IF(K$1&lt;&gt;"","Forecast","")</f>
        <v/>
      </c>
      <c r="L2" s="4" t="str">
        <f>IF(L$1&lt;&gt;"","Forecast","")</f>
        <v/>
      </c>
      <c r="M2" s="4" t="str">
        <f>IF(M$1&lt;&gt;"","Forecast","")</f>
        <v/>
      </c>
      <c r="N2" s="4" t="str">
        <f>IF(N$1&lt;&gt;"","Forecast","")</f>
        <v/>
      </c>
      <c r="O2" s="4" t="str">
        <f>IF(O$1&lt;&gt;"","Forecast","")</f>
        <v/>
      </c>
      <c r="P2" s="4" t="str">
        <f>IF(P$1&lt;&gt;"","Forecast","")</f>
        <v/>
      </c>
      <c r="Q2" s="4" t="str">
        <f>IF(Q$1&lt;&gt;"","Forecast","")</f>
        <v/>
      </c>
      <c r="R2" s="4" t="str">
        <f>IF(R$1&lt;&gt;"","Forecast","")</f>
        <v/>
      </c>
      <c r="XFA2" s="27">
        <v>2E-3</v>
      </c>
      <c r="XFB2" s="27">
        <v>0.1</v>
      </c>
      <c r="XFC2" s="28">
        <v>0.1</v>
      </c>
      <c r="XFD2" s="23">
        <v>75</v>
      </c>
    </row>
    <row r="3" spans="1:18 16381:16384">
      <c r="A3" s="1"/>
      <c r="B3" s="1"/>
      <c r="C3" s="1"/>
      <c r="D3" s="1"/>
      <c r="E3" s="1"/>
      <c r="F3" s="1"/>
      <c r="G3" s="1"/>
      <c r="H3" s="1"/>
      <c r="XFA3" s="27">
        <v>3.0000000000000001E-3</v>
      </c>
      <c r="XFB3" s="27">
        <v>0.15</v>
      </c>
      <c r="XFC3" s="28">
        <v>0.15</v>
      </c>
      <c r="XFD3" s="23">
        <v>114</v>
      </c>
    </row>
    <row r="4" spans="1:18 16381:16384">
      <c r="A4" s="110" t="s">
        <v>41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XFA4" s="27">
        <v>4.0000000000000001E-3</v>
      </c>
      <c r="XFB4" s="27">
        <v>0.2</v>
      </c>
      <c r="XFC4" s="28">
        <v>0.2</v>
      </c>
      <c r="XFD4" s="24">
        <v>7</v>
      </c>
    </row>
    <row r="5" spans="1:18 16381:16384">
      <c r="A5" s="1"/>
      <c r="B5" s="1"/>
      <c r="C5" s="1"/>
      <c r="D5" s="1"/>
      <c r="E5" s="1"/>
      <c r="F5" s="1"/>
      <c r="G5" s="1"/>
      <c r="H5" s="1"/>
      <c r="XFA5" s="27">
        <v>5.0000000000000001E-3</v>
      </c>
      <c r="XFB5" s="27">
        <v>0.223</v>
      </c>
      <c r="XFC5" s="28">
        <v>0.25</v>
      </c>
    </row>
    <row r="6" spans="1:18 16381:16384">
      <c r="A6" s="111" t="s">
        <v>42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XFA6" s="27">
        <v>6.0000000000000001E-3</v>
      </c>
      <c r="XFB6" s="27">
        <v>0.25</v>
      </c>
      <c r="XFC6" s="28">
        <v>0.3</v>
      </c>
    </row>
    <row r="7" spans="1:18 16381:16384">
      <c r="A7" s="1" t="s">
        <v>43</v>
      </c>
      <c r="B7" s="1"/>
      <c r="C7" s="11">
        <f>IF(0&lt;=$B$24,$B$16*(1+$B$19)^0,"")</f>
        <v>360</v>
      </c>
      <c r="D7" s="11">
        <f>IF(1&lt;=$B$24,$B$16*(1+$B$19)^1,"")</f>
        <v>401.04</v>
      </c>
      <c r="E7" s="11">
        <f>IF(2&lt;=$B$24,$B$16*(1+$B$19)^2,"")</f>
        <v>446.7585600000001</v>
      </c>
      <c r="F7" s="11">
        <f>IF(3&lt;=$B$24,$B$16*(1+$B$19)^3,"")</f>
        <v>497.68903584000014</v>
      </c>
      <c r="G7" s="11">
        <f>IF(4&lt;=$B$24,$B$16*(1+$B$19)^4,"")</f>
        <v>554.42558592576017</v>
      </c>
      <c r="H7" s="11">
        <f>IF(5&lt;=$B$24,$B$16*(1+$B$19)^5,"")</f>
        <v>617.63010272129679</v>
      </c>
      <c r="I7" s="29">
        <f>IF(6&lt;=$B$24,$B$16*(1+$B$19)^6,"")</f>
        <v>688.03993443152478</v>
      </c>
      <c r="J7" s="29">
        <f>IF(7&lt;=$B$24,$B$16*(1+$B$19)^7,"")</f>
        <v>766.47648695671876</v>
      </c>
      <c r="K7" s="29" t="str">
        <f>IF(8&lt;=$B$24,$B$16*(1+$B$19)^8,"")</f>
        <v/>
      </c>
      <c r="L7" s="29" t="str">
        <f>IF(9&lt;=$B$24,$B$16*(1+$B$19)^9,"")</f>
        <v/>
      </c>
      <c r="M7" s="29" t="str">
        <f>IF(10&lt;=$B$24,$B$16*(1+$B$19)^10,"")</f>
        <v/>
      </c>
      <c r="N7" s="29" t="str">
        <f>IF(11&lt;=$B$24,$B$16*(1+$B$19)^11,"")</f>
        <v/>
      </c>
      <c r="O7" s="29" t="str">
        <f>IF(12&lt;=$B$24,$B$16*(1+$B$19)^12,"")</f>
        <v/>
      </c>
      <c r="P7" s="29" t="str">
        <f>IF(13&lt;=$B$24,$B$16*(1+$B$19)^13,"")</f>
        <v/>
      </c>
      <c r="Q7" s="29" t="str">
        <f>IF(14&lt;=$B$24,$B$16*(1+$B$19)^14,"")</f>
        <v/>
      </c>
      <c r="R7" s="29" t="str">
        <f>IF(15&lt;=$B$24,$B$16*(1+$B$19)^15,"")</f>
        <v/>
      </c>
      <c r="XFA7" s="27">
        <v>7.0000000000000001E-3</v>
      </c>
      <c r="XFB7" s="27">
        <v>0.3</v>
      </c>
      <c r="XFC7" s="28">
        <v>0.35</v>
      </c>
    </row>
    <row r="8" spans="1:18 16381:16384">
      <c r="A8" s="1" t="s">
        <v>44</v>
      </c>
      <c r="B8" s="1"/>
      <c r="C8" s="2" t="s">
        <v>114</v>
      </c>
      <c r="D8" s="12">
        <f>IF(D$1&lt;&gt;"",$B$19,"")</f>
        <v>0.114</v>
      </c>
      <c r="E8" s="12">
        <f>IF(E$1&lt;&gt;"",$B$19,"")</f>
        <v>0.114</v>
      </c>
      <c r="F8" s="12">
        <f>IF(F$1&lt;&gt;"",$B$19,"")</f>
        <v>0.114</v>
      </c>
      <c r="G8" s="12">
        <f>IF(G$1&lt;&gt;"",$B$19,"")</f>
        <v>0.114</v>
      </c>
      <c r="H8" s="12">
        <f>IF(H$1&lt;&gt;"",$B$19,"")</f>
        <v>0.114</v>
      </c>
      <c r="I8" s="30">
        <f>IF(I$1&lt;&gt;"",$B$19,"")</f>
        <v>0.114</v>
      </c>
      <c r="J8" s="30">
        <f>IF(J$1&lt;&gt;"",$B$19,"")</f>
        <v>0.114</v>
      </c>
      <c r="K8" s="30" t="str">
        <f>IF(K$1&lt;&gt;"",$B$19,"")</f>
        <v/>
      </c>
      <c r="L8" s="30" t="str">
        <f>IF(L$1&lt;&gt;"",$B$19,"")</f>
        <v/>
      </c>
      <c r="M8" s="30" t="str">
        <f>IF(M$1&lt;&gt;"",$B$19,"")</f>
        <v/>
      </c>
      <c r="N8" s="30" t="str">
        <f>IF(N$1&lt;&gt;"",$B$19,"")</f>
        <v/>
      </c>
      <c r="O8" s="30" t="str">
        <f>IF(O$1&lt;&gt;"",$B$19,"")</f>
        <v/>
      </c>
      <c r="P8" s="30" t="str">
        <f>IF(P$1&lt;&gt;"",$B$19,"")</f>
        <v/>
      </c>
      <c r="Q8" s="30" t="str">
        <f>IF(Q$1&lt;&gt;"",$B$19,"")</f>
        <v/>
      </c>
      <c r="R8" s="30" t="str">
        <f>IF(R$1&lt;&gt;"",$B$19,"")</f>
        <v/>
      </c>
      <c r="XFA8" s="27">
        <v>8.0000000000000002E-3</v>
      </c>
      <c r="XFC8" s="28">
        <v>0.4</v>
      </c>
    </row>
    <row r="9" spans="1:18 16381:16384">
      <c r="A9" s="1" t="s">
        <v>45</v>
      </c>
      <c r="B9" s="1"/>
      <c r="C9" s="12">
        <f>IF(C$1&lt;&gt;"",$B$17,"")</f>
        <v>7.4999999999999997E-2</v>
      </c>
      <c r="D9" s="12">
        <f>IF(D$1&lt;&gt;"",$B$17,"")</f>
        <v>7.4999999999999997E-2</v>
      </c>
      <c r="E9" s="12">
        <f>IF(E$1&lt;&gt;"",$B$17,"")</f>
        <v>7.4999999999999997E-2</v>
      </c>
      <c r="F9" s="12">
        <f>IF(F$1&lt;&gt;"",$B$17,"")</f>
        <v>7.4999999999999997E-2</v>
      </c>
      <c r="G9" s="12">
        <f>IF(G$1&lt;&gt;"",$B$17,"")</f>
        <v>7.4999999999999997E-2</v>
      </c>
      <c r="H9" s="12">
        <f>IF(H$1&lt;&gt;"",$B$17,"")</f>
        <v>7.4999999999999997E-2</v>
      </c>
      <c r="I9" s="30">
        <f>IF(I$1&lt;&gt;"",$B$17,"")</f>
        <v>7.4999999999999997E-2</v>
      </c>
      <c r="J9" s="30">
        <f>IF(J$1&lt;&gt;"",$B$17,"")</f>
        <v>7.4999999999999997E-2</v>
      </c>
      <c r="K9" s="30" t="str">
        <f>IF(K$1&lt;&gt;"",$B$17,"")</f>
        <v/>
      </c>
      <c r="L9" s="30" t="str">
        <f>IF(L$1&lt;&gt;"",$B$17,"")</f>
        <v/>
      </c>
      <c r="M9" s="30" t="str">
        <f>IF(M$1&lt;&gt;"",$B$17,"")</f>
        <v/>
      </c>
      <c r="N9" s="30" t="str">
        <f>IF(N$1&lt;&gt;"",$B$17,"")</f>
        <v/>
      </c>
      <c r="O9" s="30" t="str">
        <f>IF(O$1&lt;&gt;"",$B$17,"")</f>
        <v/>
      </c>
      <c r="P9" s="30" t="str">
        <f>IF(P$1&lt;&gt;"",$B$17,"")</f>
        <v/>
      </c>
      <c r="Q9" s="30" t="str">
        <f>IF(Q$1&lt;&gt;"",$B$17,"")</f>
        <v/>
      </c>
      <c r="R9" s="30" t="str">
        <f>IF(R$1&lt;&gt;"",$B$17,"")</f>
        <v/>
      </c>
      <c r="XFA9" s="27">
        <v>8.9999999999999993E-3</v>
      </c>
      <c r="XFC9" s="28">
        <v>0.45</v>
      </c>
    </row>
    <row r="10" spans="1:18 16381:16384">
      <c r="A10" s="1" t="s">
        <v>46</v>
      </c>
      <c r="B10" s="1"/>
      <c r="C10" s="11">
        <f>IF(C$1&lt;&gt;"",C7*1000*C9,"")</f>
        <v>27000</v>
      </c>
      <c r="D10" s="11">
        <f>IF(D$1&lt;&gt;"",D7*1000*D9,"")</f>
        <v>30078</v>
      </c>
      <c r="E10" s="11">
        <f>IF(E$1&lt;&gt;"",E7*1000*E9,"")</f>
        <v>33506.892000000007</v>
      </c>
      <c r="F10" s="11">
        <f>IF(F$1&lt;&gt;"",F7*1000*F9,"")</f>
        <v>37326.677688000011</v>
      </c>
      <c r="G10" s="11">
        <f>IF(G$1&lt;&gt;"",G7*1000*G9,"")</f>
        <v>41581.918944432015</v>
      </c>
      <c r="H10" s="11">
        <f>IF(H$1&lt;&gt;"",H7*1000*H9,"")</f>
        <v>46322.257704097261</v>
      </c>
      <c r="I10" s="29">
        <f>IF(I$1&lt;&gt;"",I7*1000*I9,"")</f>
        <v>51602.995082364359</v>
      </c>
      <c r="J10" s="29">
        <f>IF(J$1&lt;&gt;"",J7*1000*J9,"")</f>
        <v>57485.736521753905</v>
      </c>
      <c r="K10" s="29" t="str">
        <f>IF(K$1&lt;&gt;"",K7*1000*K9,"")</f>
        <v/>
      </c>
      <c r="L10" s="29" t="str">
        <f>IF(L$1&lt;&gt;"",L7*1000*L9,"")</f>
        <v/>
      </c>
      <c r="M10" s="29" t="str">
        <f>IF(M$1&lt;&gt;"",M7*1000*M9,"")</f>
        <v/>
      </c>
      <c r="N10" s="29" t="str">
        <f>IF(N$1&lt;&gt;"",N7*1000*N9,"")</f>
        <v/>
      </c>
      <c r="O10" s="29" t="str">
        <f>IF(O$1&lt;&gt;"",O7*1000*O9,"")</f>
        <v/>
      </c>
      <c r="P10" s="29" t="str">
        <f>IF(P$1&lt;&gt;"",P7*1000*P9,"")</f>
        <v/>
      </c>
      <c r="Q10" s="29" t="str">
        <f>IF(Q$1&lt;&gt;"",Q7*1000*Q9,"")</f>
        <v/>
      </c>
      <c r="R10" s="29" t="str">
        <f>IF(R$1&lt;&gt;"",R7*1000*R9,"")</f>
        <v/>
      </c>
      <c r="XFA10" s="27">
        <v>0.01</v>
      </c>
      <c r="XFC10" s="28">
        <v>0.5</v>
      </c>
    </row>
    <row r="11" spans="1:18 16381:16384">
      <c r="A11" s="1" t="s">
        <v>47</v>
      </c>
      <c r="B11" s="1"/>
      <c r="C11" s="18">
        <f>$B$21</f>
        <v>3.7037037037037036E-8</v>
      </c>
      <c r="D11" s="18">
        <f>IF(D$1="","",IF(2027=$B$25,$B$22,$B$21*(1+$B$23)^1))</f>
        <v>2.2107790733199234E-7</v>
      </c>
      <c r="E11" s="18">
        <f>IF(E$1="","",IF(2028=$B$25,$B$22,$B$21*(1+$B$23)^2))</f>
        <v>1.319636909977911E-6</v>
      </c>
      <c r="F11" s="18">
        <f>IF(F$1="","",IF(2029=$B$25,$B$22,$B$21*(1+$B$23)^3))</f>
        <v>7.87704929539128E-6</v>
      </c>
      <c r="G11" s="18">
        <f>IF(G$1="","",IF(2030=$B$25,$B$22,$B$21*(1+$B$23)^4))</f>
        <v>4.7018922502753321E-5</v>
      </c>
      <c r="H11" s="18">
        <f>IF(H$1="","",IF(2031=$B$25,$B$22,$B$21*(1+$B$23)^5))</f>
        <v>2.8066081478167335E-4</v>
      </c>
      <c r="I11" s="31">
        <f>IF(I$1="","",IF(2032=$B$25,$B$22,$B$21*(1+$B$23)^6))</f>
        <v>1.675293451254655E-3</v>
      </c>
      <c r="J11" s="31">
        <f>IF(J$1="","",IF(2033=$B$25,$B$22,$B$21*(1+$B$23)^7))</f>
        <v>0.01</v>
      </c>
      <c r="K11" s="31" t="str">
        <f>IF(K$1="","",IF(2034=$B$25,$B$22,$B$21*(1+$B$23)^8))</f>
        <v/>
      </c>
      <c r="L11" s="31" t="str">
        <f>IF(L$1="","",IF(2035=$B$25,$B$22,$B$21*(1+$B$23)^9))</f>
        <v/>
      </c>
      <c r="M11" s="31" t="str">
        <f>IF(M$1="","",IF(2036=$B$25,$B$22,$B$21*(1+$B$23)^10))</f>
        <v/>
      </c>
      <c r="N11" s="31" t="str">
        <f>IF(N$1="","",IF(2037=$B$25,$B$22,$B$21*(1+$B$23)^11))</f>
        <v/>
      </c>
      <c r="O11" s="31" t="str">
        <f>IF(O$1="","",IF(2038=$B$25,$B$22,$B$21*(1+$B$23)^12))</f>
        <v/>
      </c>
      <c r="P11" s="31" t="str">
        <f>IF(P$1="","",IF(2039=$B$25,$B$22,$B$21*(1+$B$23)^13))</f>
        <v/>
      </c>
      <c r="Q11" s="31" t="str">
        <f>IF(Q$1="","",IF(2040=$B$25,$B$22,$B$21*(1+$B$23)^14))</f>
        <v/>
      </c>
      <c r="R11" s="31" t="str">
        <f>IF(R$1="","",IF(2041=$B$25,$B$22,$B$21*(1+$B$23)^15))</f>
        <v/>
      </c>
      <c r="XFA11" s="27">
        <v>1.0999999999999999E-2</v>
      </c>
      <c r="XFC11" s="28">
        <v>0.55000000000000004</v>
      </c>
    </row>
    <row r="12" spans="1:18 16381:16384">
      <c r="A12" s="1" t="s">
        <v>48</v>
      </c>
      <c r="B12" s="1"/>
      <c r="C12" s="19">
        <f>IF(C$1&lt;&gt;"",C10*1000000*C11,"")</f>
        <v>1000</v>
      </c>
      <c r="D12" s="19">
        <f>IF(D$1&lt;&gt;"",D10*1000000*D11,"")</f>
        <v>6649.5812967316651</v>
      </c>
      <c r="E12" s="19">
        <f>IF(E$1&lt;&gt;"",E10*1000000*E11,"")</f>
        <v>44216.931421843597</v>
      </c>
      <c r="F12" s="19">
        <f>IF(F$1&lt;&gt;"",F10*1000000*F11,"")</f>
        <v>294024.08018155786</v>
      </c>
      <c r="G12" s="19">
        <f>IF(G$1&lt;&gt;"",G10*1000000*G11,"")</f>
        <v>1955137.024364019</v>
      </c>
      <c r="H12" s="19">
        <f>IF(H$1&lt;&gt;"",H10*1000000*H11,"")</f>
        <v>13000842.589758582</v>
      </c>
      <c r="I12" s="32">
        <f>IF(I$1&lt;&gt;"",I10*1000000*I11,"")</f>
        <v>86450159.726611167</v>
      </c>
      <c r="J12" s="32">
        <f>IF(J$1&lt;&gt;"",J10*1000000*J11,"")</f>
        <v>574857365.21753907</v>
      </c>
      <c r="K12" s="32" t="str">
        <f>IF(K$1&lt;&gt;"",K10*1000000*K11,"")</f>
        <v/>
      </c>
      <c r="L12" s="32" t="str">
        <f>IF(L$1&lt;&gt;"",L10*1000000*L11,"")</f>
        <v/>
      </c>
      <c r="M12" s="32" t="str">
        <f>IF(M$1&lt;&gt;"",M10*1000000*M11,"")</f>
        <v/>
      </c>
      <c r="N12" s="32" t="str">
        <f>IF(N$1&lt;&gt;"",N10*1000000*N11,"")</f>
        <v/>
      </c>
      <c r="O12" s="32" t="str">
        <f>IF(O$1&lt;&gt;"",O10*1000000*O11,"")</f>
        <v/>
      </c>
      <c r="P12" s="32" t="str">
        <f>IF(P$1&lt;&gt;"",P10*1000000*P11,"")</f>
        <v/>
      </c>
      <c r="Q12" s="32" t="str">
        <f>IF(Q$1&lt;&gt;"",Q10*1000000*Q11,"")</f>
        <v/>
      </c>
      <c r="R12" s="32" t="str">
        <f>IF(R$1&lt;&gt;"",R10*1000000*R11,"")</f>
        <v/>
      </c>
      <c r="XFA12" s="27">
        <v>1.2E-2</v>
      </c>
      <c r="XFC12" s="28">
        <v>0.6</v>
      </c>
    </row>
    <row r="13" spans="1:18 16381:16384">
      <c r="A13" s="1" t="s">
        <v>49</v>
      </c>
      <c r="B13" s="1"/>
      <c r="C13" s="2" t="s">
        <v>114</v>
      </c>
      <c r="D13" s="12">
        <f>IF(D$1="","",IFERROR(D12/C12-1,0))</f>
        <v>5.6495812967316654</v>
      </c>
      <c r="E13" s="12">
        <f>IF(E$1="","",IFERROR(E12/D12-1,0))</f>
        <v>5.649581296731669</v>
      </c>
      <c r="F13" s="12">
        <f>IF(F$1="","",IFERROR(F12/E12-1,0))</f>
        <v>5.6495812967316654</v>
      </c>
      <c r="G13" s="12">
        <f>IF(G$1="","",IFERROR(G12/F12-1,0))</f>
        <v>5.6495812967316663</v>
      </c>
      <c r="H13" s="12">
        <f>IF(H$1="","",IFERROR(H12/G12-1,0))</f>
        <v>5.6495812967316645</v>
      </c>
      <c r="I13" s="30">
        <f>IF(I$1="","",IFERROR(I12/H12-1,0))</f>
        <v>5.6495812967316681</v>
      </c>
      <c r="J13" s="30">
        <f>IF(J$1="","",IFERROR(J12/I12-1,0))</f>
        <v>5.6495812967316699</v>
      </c>
      <c r="K13" s="30" t="str">
        <f>IF(K$1="","",IFERROR(K12/J12-1,0))</f>
        <v/>
      </c>
      <c r="L13" s="30" t="str">
        <f>IF(L$1="","",IFERROR(L12/K12-1,0))</f>
        <v/>
      </c>
      <c r="M13" s="30" t="str">
        <f>IF(M$1="","",IFERROR(M12/L12-1,0))</f>
        <v/>
      </c>
      <c r="N13" s="30" t="str">
        <f>IF(N$1="","",IFERROR(N12/M12-1,0))</f>
        <v/>
      </c>
      <c r="O13" s="30" t="str">
        <f>IF(O$1="","",IFERROR(O12/N12-1,0))</f>
        <v/>
      </c>
      <c r="P13" s="30" t="str">
        <f>IF(P$1="","",IFERROR(P12/O12-1,0))</f>
        <v/>
      </c>
      <c r="Q13" s="30" t="str">
        <f>IF(Q$1="","",IFERROR(Q12/P12-1,0))</f>
        <v/>
      </c>
      <c r="R13" s="30" t="str">
        <f>IF(R$1="","",IFERROR(R12/Q12-1,0))</f>
        <v/>
      </c>
      <c r="XFA13" s="27">
        <v>1.2999999999999999E-2</v>
      </c>
      <c r="XFC13" s="28">
        <v>0.65</v>
      </c>
    </row>
    <row r="14" spans="1:18 16381:16384">
      <c r="A14" s="1"/>
      <c r="B14" s="1"/>
      <c r="C14" s="1"/>
      <c r="D14" s="1"/>
      <c r="E14" s="1"/>
      <c r="F14" s="1"/>
      <c r="G14" s="1"/>
      <c r="H14" s="1"/>
      <c r="XFA14" s="27">
        <v>1.4E-2</v>
      </c>
      <c r="XFC14" s="28">
        <v>0.7</v>
      </c>
    </row>
    <row r="15" spans="1:18 16381:16384">
      <c r="A15" s="111" t="s">
        <v>50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XFA15" s="27">
        <v>1.7999999999999999E-2</v>
      </c>
      <c r="XFC15" s="28">
        <v>0.9</v>
      </c>
    </row>
    <row r="16" spans="1:18 16381:16384">
      <c r="A16" s="1" t="s">
        <v>51</v>
      </c>
      <c r="B16" s="16">
        <v>360</v>
      </c>
      <c r="XFA16" s="27">
        <v>1.9E-2</v>
      </c>
      <c r="XFC16" s="28">
        <v>0.95</v>
      </c>
    </row>
    <row r="17" spans="1:8 16381:16383">
      <c r="A17" s="1" t="s">
        <v>45</v>
      </c>
      <c r="B17" s="21">
        <f>$XFD$2/1000</f>
        <v>7.4999999999999997E-2</v>
      </c>
      <c r="XFA17" s="27">
        <v>0.02</v>
      </c>
      <c r="XFC17" s="28">
        <v>1</v>
      </c>
    </row>
    <row r="18" spans="1:8 16381:16383">
      <c r="A18" s="1" t="s">
        <v>52</v>
      </c>
      <c r="B18" s="13">
        <f>B16*1000*B17</f>
        <v>27000</v>
      </c>
      <c r="XFA18" s="27">
        <v>2.1000000000000001E-2</v>
      </c>
    </row>
    <row r="19" spans="1:8 16381:16383">
      <c r="A19" s="1" t="s">
        <v>44</v>
      </c>
      <c r="B19" s="21">
        <f>$XFD$3/1000</f>
        <v>0.114</v>
      </c>
      <c r="XFA19" s="27">
        <v>2.1999999999999999E-2</v>
      </c>
    </row>
    <row r="20" spans="1:8 16381:16383">
      <c r="A20" s="1" t="s">
        <v>53</v>
      </c>
      <c r="B20" s="17">
        <v>1E-3</v>
      </c>
      <c r="XFA20" s="27">
        <v>2.3E-2</v>
      </c>
    </row>
    <row r="21" spans="1:8 16381:16383">
      <c r="A21" s="1" t="s">
        <v>54</v>
      </c>
      <c r="B21" s="14">
        <f>IFERROR(B20/B18,0)</f>
        <v>3.7037037037037036E-8</v>
      </c>
      <c r="XFA21" s="27">
        <v>2.4E-2</v>
      </c>
    </row>
    <row r="22" spans="1:8 16381:16383">
      <c r="A22" s="1" t="s">
        <v>115</v>
      </c>
      <c r="B22" s="22">
        <f>$XFD$1/10000</f>
        <v>0.01</v>
      </c>
      <c r="XFA22" s="27">
        <v>2.5000000000000001E-2</v>
      </c>
    </row>
    <row r="23" spans="1:8 16381:16383">
      <c r="A23" s="1" t="s">
        <v>55</v>
      </c>
      <c r="B23" s="15">
        <f>IF(OR(B21&lt;=0,B22&lt;=0,B24&lt;=0),0,(B22/B21)^(1/B24)-1)</f>
        <v>4.9691034979637934</v>
      </c>
      <c r="XFA23" s="27">
        <v>2.5999999999999999E-2</v>
      </c>
    </row>
    <row r="24" spans="1:8 16381:16383">
      <c r="A24" s="1" t="s">
        <v>116</v>
      </c>
      <c r="B24" s="26">
        <f>$XFD$4</f>
        <v>7</v>
      </c>
      <c r="C24" s="109"/>
      <c r="D24" s="109"/>
      <c r="E24" s="109"/>
      <c r="F24" s="109"/>
      <c r="G24" s="109"/>
      <c r="H24" s="109"/>
      <c r="XFA24" s="27">
        <v>2.7E-2</v>
      </c>
    </row>
    <row r="25" spans="1:8 16381:16383">
      <c r="A25" s="1" t="s">
        <v>117</v>
      </c>
      <c r="B25" s="26">
        <f>2026+B24</f>
        <v>2033</v>
      </c>
      <c r="C25" s="1"/>
      <c r="D25" s="1"/>
      <c r="E25" s="1"/>
      <c r="F25" s="1"/>
      <c r="G25" s="1"/>
      <c r="H25" s="1"/>
      <c r="XFA25" s="27">
        <v>2.8000000000000001E-2</v>
      </c>
    </row>
    <row r="26" spans="1:8 16381:16383">
      <c r="A26" s="1"/>
      <c r="B26" s="1"/>
      <c r="C26" s="1"/>
      <c r="D26" s="1"/>
      <c r="E26" s="1"/>
      <c r="F26" s="1"/>
      <c r="G26" s="1"/>
      <c r="H26" s="1"/>
      <c r="XFA26" s="27">
        <v>2.9000000000000001E-2</v>
      </c>
    </row>
    <row r="27" spans="1:8 16381:16383">
      <c r="A27" s="112" t="s">
        <v>56</v>
      </c>
      <c r="B27" s="112"/>
      <c r="C27" s="112"/>
      <c r="D27" s="112"/>
      <c r="E27" s="112"/>
      <c r="F27" s="112"/>
      <c r="G27" s="112"/>
      <c r="H27" s="112"/>
      <c r="XFA27" s="27">
        <v>3.1E-2</v>
      </c>
    </row>
    <row r="28" spans="1:8 16381:16383">
      <c r="A28" s="108" t="s">
        <v>57</v>
      </c>
      <c r="B28" s="108"/>
      <c r="C28" s="108"/>
      <c r="D28" s="108"/>
      <c r="E28" s="108"/>
      <c r="F28" s="108"/>
      <c r="G28" s="108"/>
      <c r="H28" s="108"/>
      <c r="XFA28" s="27">
        <v>3.2000000000000001E-2</v>
      </c>
    </row>
    <row r="29" spans="1:8 16381:16383">
      <c r="A29" s="108" t="s">
        <v>58</v>
      </c>
      <c r="B29" s="108"/>
      <c r="C29" s="108"/>
      <c r="D29" s="108"/>
      <c r="E29" s="108"/>
      <c r="F29" s="108"/>
      <c r="G29" s="108"/>
      <c r="H29" s="108"/>
      <c r="XFA29" s="27">
        <v>3.3000000000000002E-2</v>
      </c>
    </row>
    <row r="30" spans="1:8 16381:16383">
      <c r="A30" s="108" t="s">
        <v>118</v>
      </c>
      <c r="B30" s="108" t="s">
        <v>118</v>
      </c>
      <c r="C30" s="108" t="s">
        <v>118</v>
      </c>
      <c r="D30" s="108" t="s">
        <v>118</v>
      </c>
      <c r="E30" s="108" t="s">
        <v>118</v>
      </c>
      <c r="F30" s="108" t="s">
        <v>118</v>
      </c>
      <c r="G30" s="108" t="s">
        <v>118</v>
      </c>
      <c r="H30" s="108" t="s">
        <v>118</v>
      </c>
      <c r="XFA30" s="27">
        <v>3.4000000000000002E-2</v>
      </c>
    </row>
    <row r="31" spans="1:8 16381:16383">
      <c r="A31" s="108" t="s">
        <v>59</v>
      </c>
      <c r="B31" s="108"/>
      <c r="C31" s="108"/>
      <c r="D31" s="108"/>
      <c r="E31" s="108"/>
      <c r="F31" s="108"/>
      <c r="G31" s="108"/>
      <c r="H31" s="108"/>
      <c r="XFA31" s="27">
        <v>3.5000000000000003E-2</v>
      </c>
    </row>
    <row r="32" spans="1:8 16381:16383">
      <c r="A32" s="108" t="s">
        <v>60</v>
      </c>
      <c r="B32" s="108"/>
      <c r="C32" s="108"/>
      <c r="D32" s="108"/>
      <c r="E32" s="108"/>
      <c r="F32" s="108"/>
      <c r="G32" s="108"/>
      <c r="H32" s="108"/>
      <c r="XFA32" s="27">
        <v>3.5999999999999997E-2</v>
      </c>
    </row>
    <row r="33" spans="1:8 16381:16381">
      <c r="A33" s="1"/>
      <c r="B33" s="1"/>
      <c r="C33" s="1"/>
      <c r="D33" s="1"/>
      <c r="E33" s="1"/>
      <c r="F33" s="1"/>
      <c r="G33" s="1"/>
      <c r="H33" s="1"/>
      <c r="XFA33" s="27">
        <v>3.6999999999999998E-2</v>
      </c>
    </row>
    <row r="34" spans="1:8 16381:16381">
      <c r="XFA34" s="27">
        <v>3.7999999999999999E-2</v>
      </c>
    </row>
    <row r="35" spans="1:8 16381:16381">
      <c r="XFA35" s="27">
        <v>3.9E-2</v>
      </c>
    </row>
    <row r="36" spans="1:8 16381:16381">
      <c r="XFA36" s="27">
        <v>0.04</v>
      </c>
    </row>
    <row r="37" spans="1:8 16381:16381">
      <c r="XFA37" s="27">
        <v>4.1000000000000002E-2</v>
      </c>
    </row>
    <row r="38" spans="1:8 16381:16381">
      <c r="XFA38" s="27">
        <v>4.2000000000000003E-2</v>
      </c>
    </row>
    <row r="39" spans="1:8 16381:16381">
      <c r="XFA39" s="27">
        <v>4.2999999999999997E-2</v>
      </c>
    </row>
    <row r="40" spans="1:8 16381:16381">
      <c r="XFA40" s="27">
        <v>4.3999999999999997E-2</v>
      </c>
    </row>
    <row r="41" spans="1:8 16381:16381">
      <c r="XFA41" s="27">
        <v>4.4999999999999998E-2</v>
      </c>
    </row>
    <row r="42" spans="1:8 16381:16381">
      <c r="XFA42" s="27">
        <v>4.5999999999999999E-2</v>
      </c>
    </row>
    <row r="43" spans="1:8 16381:16381">
      <c r="XFA43" s="27">
        <v>4.7E-2</v>
      </c>
    </row>
    <row r="44" spans="1:8 16381:16381">
      <c r="XFA44" s="27">
        <v>4.8000000000000001E-2</v>
      </c>
    </row>
    <row r="45" spans="1:8 16381:16381">
      <c r="XFA45" s="27">
        <v>4.9000000000000002E-2</v>
      </c>
    </row>
    <row r="46" spans="1:8 16381:16381">
      <c r="XFA46" s="27">
        <v>0.05</v>
      </c>
    </row>
    <row r="47" spans="1:8 16381:16381">
      <c r="XFA47" s="27">
        <v>5.0999999999999997E-2</v>
      </c>
    </row>
    <row r="48" spans="1:8 16381:16381">
      <c r="XFA48" s="27">
        <v>5.1999999999999998E-2</v>
      </c>
    </row>
    <row r="49" spans="16381:16381">
      <c r="XFA49" s="27">
        <v>5.2999999999999999E-2</v>
      </c>
    </row>
    <row r="50" spans="16381:16381">
      <c r="XFA50" s="27">
        <v>5.3999999999999999E-2</v>
      </c>
    </row>
    <row r="51" spans="16381:16381">
      <c r="XFA51" s="27">
        <v>5.5E-2</v>
      </c>
    </row>
    <row r="52" spans="16381:16381">
      <c r="XFA52" s="27">
        <v>5.6000000000000001E-2</v>
      </c>
    </row>
    <row r="53" spans="16381:16381">
      <c r="XFA53" s="27">
        <v>5.7000000000000002E-2</v>
      </c>
    </row>
    <row r="54" spans="16381:16381">
      <c r="XFA54" s="27">
        <v>5.8000000000000003E-2</v>
      </c>
    </row>
    <row r="55" spans="16381:16381">
      <c r="XFA55" s="27">
        <v>5.8999999999999997E-2</v>
      </c>
    </row>
    <row r="56" spans="16381:16381">
      <c r="XFA56" s="27">
        <v>0.06</v>
      </c>
    </row>
    <row r="57" spans="16381:16381">
      <c r="XFA57" s="27">
        <v>6.0999999999999999E-2</v>
      </c>
    </row>
    <row r="58" spans="16381:16381">
      <c r="XFA58" s="27">
        <v>6.2E-2</v>
      </c>
    </row>
    <row r="59" spans="16381:16381">
      <c r="XFA59" s="27">
        <v>6.3E-2</v>
      </c>
    </row>
    <row r="60" spans="16381:16381">
      <c r="XFA60" s="27">
        <v>6.4000000000000001E-2</v>
      </c>
    </row>
    <row r="61" spans="16381:16381">
      <c r="XFA61" s="27">
        <v>6.5000000000000002E-2</v>
      </c>
    </row>
    <row r="62" spans="16381:16381">
      <c r="XFA62" s="27">
        <v>6.6000000000000003E-2</v>
      </c>
    </row>
    <row r="63" spans="16381:16381">
      <c r="XFA63" s="27">
        <v>6.7000000000000004E-2</v>
      </c>
    </row>
    <row r="64" spans="16381:16381">
      <c r="XFA64" s="27">
        <v>6.8000000000000005E-2</v>
      </c>
    </row>
    <row r="65" spans="16381:16381">
      <c r="XFA65" s="27">
        <v>6.9000000000000006E-2</v>
      </c>
    </row>
    <row r="66" spans="16381:16381">
      <c r="XFA66" s="27">
        <v>7.0000000000000007E-2</v>
      </c>
    </row>
    <row r="67" spans="16381:16381">
      <c r="XFA67" s="27">
        <v>7.0999999999999994E-2</v>
      </c>
    </row>
    <row r="68" spans="16381:16381">
      <c r="XFA68" s="27">
        <v>7.1999999999999995E-2</v>
      </c>
    </row>
    <row r="69" spans="16381:16381">
      <c r="XFA69" s="27">
        <v>7.2999999999999995E-2</v>
      </c>
    </row>
    <row r="70" spans="16381:16381">
      <c r="XFA70" s="27">
        <v>7.3999999999999996E-2</v>
      </c>
    </row>
    <row r="71" spans="16381:16381">
      <c r="XFA71" s="27">
        <v>7.4999999999999997E-2</v>
      </c>
    </row>
    <row r="72" spans="16381:16381">
      <c r="XFA72" s="27">
        <v>7.5999999999999998E-2</v>
      </c>
    </row>
    <row r="73" spans="16381:16381">
      <c r="XFA73" s="27">
        <v>7.6999999999999999E-2</v>
      </c>
    </row>
    <row r="74" spans="16381:16381">
      <c r="XFA74" s="27">
        <v>7.8E-2</v>
      </c>
    </row>
    <row r="75" spans="16381:16381">
      <c r="XFA75" s="27">
        <v>7.9000000000000001E-2</v>
      </c>
    </row>
    <row r="76" spans="16381:16381">
      <c r="XFA76" s="27">
        <v>0.08</v>
      </c>
    </row>
    <row r="77" spans="16381:16381">
      <c r="XFA77" s="27">
        <v>8.1000000000000003E-2</v>
      </c>
    </row>
    <row r="78" spans="16381:16381">
      <c r="XFA78" s="27">
        <v>8.2000000000000003E-2</v>
      </c>
    </row>
    <row r="79" spans="16381:16381">
      <c r="XFA79" s="27">
        <v>8.3000000000000004E-2</v>
      </c>
    </row>
    <row r="80" spans="16381:16381">
      <c r="XFA80" s="27">
        <v>8.4000000000000005E-2</v>
      </c>
    </row>
    <row r="81" spans="16381:16381">
      <c r="XFA81" s="27">
        <v>8.5000000000000006E-2</v>
      </c>
    </row>
    <row r="82" spans="16381:16381">
      <c r="XFA82" s="27">
        <v>8.5999999999999993E-2</v>
      </c>
    </row>
    <row r="83" spans="16381:16381">
      <c r="XFA83" s="27">
        <v>8.6999999999999994E-2</v>
      </c>
    </row>
    <row r="84" spans="16381:16381">
      <c r="XFA84" s="27">
        <v>8.7999999999999995E-2</v>
      </c>
    </row>
    <row r="85" spans="16381:16381">
      <c r="XFA85" s="27">
        <v>8.8999999999999996E-2</v>
      </c>
    </row>
    <row r="86" spans="16381:16381">
      <c r="XFA86" s="27">
        <v>0.09</v>
      </c>
    </row>
    <row r="87" spans="16381:16381">
      <c r="XFA87" s="27">
        <v>9.0999999999999998E-2</v>
      </c>
    </row>
    <row r="88" spans="16381:16381">
      <c r="XFA88" s="27">
        <v>9.1999999999999998E-2</v>
      </c>
    </row>
    <row r="89" spans="16381:16381">
      <c r="XFA89" s="27">
        <v>9.2999999999999999E-2</v>
      </c>
    </row>
    <row r="90" spans="16381:16381">
      <c r="XFA90" s="27">
        <v>9.4E-2</v>
      </c>
    </row>
    <row r="91" spans="16381:16381">
      <c r="XFA91" s="27">
        <v>9.5000000000000001E-2</v>
      </c>
    </row>
    <row r="92" spans="16381:16381">
      <c r="XFA92" s="27">
        <v>9.6000000000000002E-2</v>
      </c>
    </row>
    <row r="93" spans="16381:16381">
      <c r="XFA93" s="27">
        <v>9.7000000000000003E-2</v>
      </c>
    </row>
    <row r="94" spans="16381:16381">
      <c r="XFA94" s="27">
        <v>9.8000000000000004E-2</v>
      </c>
    </row>
    <row r="95" spans="16381:16381">
      <c r="XFA95" s="27">
        <v>9.9000000000000005E-2</v>
      </c>
    </row>
    <row r="96" spans="16381:16381">
      <c r="XFA96" s="27">
        <v>0.1</v>
      </c>
    </row>
    <row r="97" spans="16381:16381">
      <c r="XFA97" s="27">
        <v>0.10100000000000001</v>
      </c>
    </row>
    <row r="98" spans="16381:16381">
      <c r="XFA98" s="27">
        <v>0.10199999999999999</v>
      </c>
    </row>
    <row r="99" spans="16381:16381">
      <c r="XFA99" s="27">
        <v>0.10299999999999999</v>
      </c>
    </row>
    <row r="100" spans="16381:16381">
      <c r="XFA100" s="27">
        <v>0.104</v>
      </c>
    </row>
    <row r="101" spans="16381:16381">
      <c r="XFA101" s="27">
        <v>0.105</v>
      </c>
    </row>
    <row r="102" spans="16381:16381">
      <c r="XFA102" s="27">
        <v>0.106</v>
      </c>
    </row>
    <row r="103" spans="16381:16381">
      <c r="XFA103" s="27">
        <v>0.107</v>
      </c>
    </row>
    <row r="104" spans="16381:16381">
      <c r="XFA104" s="27">
        <v>0.108</v>
      </c>
    </row>
    <row r="105" spans="16381:16381">
      <c r="XFA105" s="27">
        <v>0.109</v>
      </c>
    </row>
    <row r="106" spans="16381:16381">
      <c r="XFA106" s="27">
        <v>0.11</v>
      </c>
    </row>
    <row r="107" spans="16381:16381">
      <c r="XFA107" s="27">
        <v>0.111</v>
      </c>
    </row>
    <row r="108" spans="16381:16381">
      <c r="XFA108" s="27">
        <v>0.112</v>
      </c>
    </row>
    <row r="109" spans="16381:16381">
      <c r="XFA109" s="27">
        <v>0.113</v>
      </c>
    </row>
    <row r="110" spans="16381:16381">
      <c r="XFA110" s="27">
        <v>0.114</v>
      </c>
    </row>
    <row r="111" spans="16381:16381">
      <c r="XFA111" s="27">
        <v>0.115</v>
      </c>
    </row>
    <row r="112" spans="16381:16381">
      <c r="XFA112" s="27">
        <v>0.11600000000000001</v>
      </c>
    </row>
    <row r="113" spans="16381:16381">
      <c r="XFA113" s="27">
        <v>0.11700000000000001</v>
      </c>
    </row>
    <row r="114" spans="16381:16381">
      <c r="XFA114" s="27">
        <v>0.11799999999999999</v>
      </c>
    </row>
    <row r="115" spans="16381:16381">
      <c r="XFA115" s="27">
        <v>0.11899999999999999</v>
      </c>
    </row>
    <row r="116" spans="16381:16381">
      <c r="XFA116" s="27">
        <v>0.12</v>
      </c>
    </row>
    <row r="117" spans="16381:16381">
      <c r="XFA117" s="27">
        <v>0.121</v>
      </c>
    </row>
    <row r="118" spans="16381:16381">
      <c r="XFA118" s="27">
        <v>0.122</v>
      </c>
    </row>
    <row r="119" spans="16381:16381">
      <c r="XFA119" s="27">
        <v>0.123</v>
      </c>
    </row>
    <row r="120" spans="16381:16381">
      <c r="XFA120" s="27">
        <v>0.124</v>
      </c>
    </row>
    <row r="121" spans="16381:16381">
      <c r="XFA121" s="27">
        <v>0.125</v>
      </c>
    </row>
    <row r="122" spans="16381:16381">
      <c r="XFA122" s="27">
        <v>0.126</v>
      </c>
    </row>
    <row r="123" spans="16381:16381">
      <c r="XFA123" s="27">
        <v>0.127</v>
      </c>
    </row>
    <row r="124" spans="16381:16381">
      <c r="XFA124" s="27">
        <v>0.128</v>
      </c>
    </row>
    <row r="125" spans="16381:16381">
      <c r="XFA125" s="27">
        <v>0.129</v>
      </c>
    </row>
    <row r="126" spans="16381:16381">
      <c r="XFA126" s="27">
        <v>0.13</v>
      </c>
    </row>
    <row r="127" spans="16381:16381">
      <c r="XFA127" s="27">
        <v>0.13100000000000001</v>
      </c>
    </row>
    <row r="128" spans="16381:16381">
      <c r="XFA128" s="27">
        <v>0.13200000000000001</v>
      </c>
    </row>
    <row r="129" spans="16381:16381">
      <c r="XFA129" s="27">
        <v>0.13300000000000001</v>
      </c>
    </row>
    <row r="130" spans="16381:16381">
      <c r="XFA130" s="27">
        <v>0.13400000000000001</v>
      </c>
    </row>
    <row r="131" spans="16381:16381">
      <c r="XFA131" s="27">
        <v>0.13500000000000001</v>
      </c>
    </row>
    <row r="132" spans="16381:16381">
      <c r="XFA132" s="27">
        <v>0.13600000000000001</v>
      </c>
    </row>
    <row r="133" spans="16381:16381">
      <c r="XFA133" s="27">
        <v>0.13700000000000001</v>
      </c>
    </row>
    <row r="134" spans="16381:16381">
      <c r="XFA134" s="27">
        <v>0.13800000000000001</v>
      </c>
    </row>
    <row r="135" spans="16381:16381">
      <c r="XFA135" s="27">
        <v>0.13900000000000001</v>
      </c>
    </row>
    <row r="136" spans="16381:16381">
      <c r="XFA136" s="27">
        <v>0.14000000000000001</v>
      </c>
    </row>
    <row r="137" spans="16381:16381">
      <c r="XFA137" s="27">
        <v>0.14099999999999999</v>
      </c>
    </row>
    <row r="138" spans="16381:16381">
      <c r="XFA138" s="27">
        <v>0.14199999999999999</v>
      </c>
    </row>
    <row r="139" spans="16381:16381">
      <c r="XFA139" s="27">
        <v>0.14299999999999999</v>
      </c>
    </row>
    <row r="140" spans="16381:16381">
      <c r="XFA140" s="27">
        <v>0.14399999999999999</v>
      </c>
    </row>
    <row r="141" spans="16381:16381">
      <c r="XFA141" s="27">
        <v>0.14499999999999999</v>
      </c>
    </row>
    <row r="142" spans="16381:16381">
      <c r="XFA142" s="27">
        <v>0.14599999999999999</v>
      </c>
    </row>
    <row r="143" spans="16381:16381">
      <c r="XFA143" s="27">
        <v>0.14699999999999999</v>
      </c>
    </row>
    <row r="144" spans="16381:16381">
      <c r="XFA144" s="27">
        <v>0.14799999999999999</v>
      </c>
    </row>
    <row r="145" spans="16381:16381">
      <c r="XFA145" s="27">
        <v>0.14899999999999999</v>
      </c>
    </row>
    <row r="146" spans="16381:16381">
      <c r="XFA146" s="27">
        <v>0.15</v>
      </c>
    </row>
    <row r="147" spans="16381:16381">
      <c r="XFA147" s="27">
        <v>0.151</v>
      </c>
    </row>
    <row r="148" spans="16381:16381">
      <c r="XFA148" s="27">
        <v>0.152</v>
      </c>
    </row>
    <row r="149" spans="16381:16381">
      <c r="XFA149" s="27">
        <v>0.153</v>
      </c>
    </row>
    <row r="150" spans="16381:16381">
      <c r="XFA150" s="27">
        <v>0.154</v>
      </c>
    </row>
    <row r="151" spans="16381:16381">
      <c r="XFA151" s="27">
        <v>0.155</v>
      </c>
    </row>
    <row r="152" spans="16381:16381">
      <c r="XFA152" s="27">
        <v>0.156</v>
      </c>
    </row>
    <row r="153" spans="16381:16381">
      <c r="XFA153" s="27">
        <v>0.157</v>
      </c>
    </row>
    <row r="154" spans="16381:16381">
      <c r="XFA154" s="27">
        <v>0.158</v>
      </c>
    </row>
    <row r="155" spans="16381:16381">
      <c r="XFA155" s="27">
        <v>0.159</v>
      </c>
    </row>
    <row r="156" spans="16381:16381">
      <c r="XFA156" s="27">
        <v>0.16</v>
      </c>
    </row>
    <row r="157" spans="16381:16381">
      <c r="XFA157" s="27">
        <v>0.161</v>
      </c>
    </row>
    <row r="158" spans="16381:16381">
      <c r="XFA158" s="27">
        <v>0.16200000000000001</v>
      </c>
    </row>
    <row r="159" spans="16381:16381">
      <c r="XFA159" s="27">
        <v>0.16300000000000001</v>
      </c>
    </row>
    <row r="160" spans="16381:16381">
      <c r="XFA160" s="27">
        <v>0.16400000000000001</v>
      </c>
    </row>
    <row r="161" spans="16381:16381">
      <c r="XFA161" s="27">
        <v>0.16500000000000001</v>
      </c>
    </row>
    <row r="162" spans="16381:16381">
      <c r="XFA162" s="27">
        <v>0.16600000000000001</v>
      </c>
    </row>
    <row r="163" spans="16381:16381">
      <c r="XFA163" s="27">
        <v>0.16700000000000001</v>
      </c>
    </row>
    <row r="164" spans="16381:16381">
      <c r="XFA164" s="27">
        <v>0.16800000000000001</v>
      </c>
    </row>
    <row r="165" spans="16381:16381">
      <c r="XFA165" s="27">
        <v>0.16900000000000001</v>
      </c>
    </row>
    <row r="166" spans="16381:16381">
      <c r="XFA166" s="27">
        <v>0.17</v>
      </c>
    </row>
    <row r="167" spans="16381:16381">
      <c r="XFA167" s="27">
        <v>0.17100000000000001</v>
      </c>
    </row>
    <row r="168" spans="16381:16381">
      <c r="XFA168" s="27">
        <v>0.17199999999999999</v>
      </c>
    </row>
    <row r="169" spans="16381:16381">
      <c r="XFA169" s="27">
        <v>0.17299999999999999</v>
      </c>
    </row>
    <row r="170" spans="16381:16381">
      <c r="XFA170" s="27">
        <v>0.17399999999999999</v>
      </c>
    </row>
    <row r="171" spans="16381:16381">
      <c r="XFA171" s="27">
        <v>0.17499999999999999</v>
      </c>
    </row>
    <row r="172" spans="16381:16381">
      <c r="XFA172" s="27">
        <v>0.17599999999999999</v>
      </c>
    </row>
    <row r="173" spans="16381:16381">
      <c r="XFA173" s="27">
        <v>0.17699999999999999</v>
      </c>
    </row>
    <row r="174" spans="16381:16381">
      <c r="XFA174" s="27">
        <v>0.17799999999999999</v>
      </c>
    </row>
    <row r="175" spans="16381:16381">
      <c r="XFA175" s="27">
        <v>0.17899999999999999</v>
      </c>
    </row>
    <row r="176" spans="16381:16381">
      <c r="XFA176" s="27">
        <v>0.18</v>
      </c>
    </row>
    <row r="177" spans="16381:16381">
      <c r="XFA177" s="27">
        <v>0.18099999999999999</v>
      </c>
    </row>
    <row r="178" spans="16381:16381">
      <c r="XFA178" s="27">
        <v>0.182</v>
      </c>
    </row>
    <row r="179" spans="16381:16381">
      <c r="XFA179" s="27">
        <v>0.183</v>
      </c>
    </row>
    <row r="180" spans="16381:16381">
      <c r="XFA180" s="27">
        <v>0.184</v>
      </c>
    </row>
    <row r="181" spans="16381:16381">
      <c r="XFA181" s="27">
        <v>0.185</v>
      </c>
    </row>
    <row r="182" spans="16381:16381">
      <c r="XFA182" s="27">
        <v>0.186</v>
      </c>
    </row>
    <row r="183" spans="16381:16381">
      <c r="XFA183" s="27">
        <v>0.187</v>
      </c>
    </row>
    <row r="184" spans="16381:16381">
      <c r="XFA184" s="27">
        <v>0.188</v>
      </c>
    </row>
    <row r="185" spans="16381:16381">
      <c r="XFA185" s="27">
        <v>0.189</v>
      </c>
    </row>
    <row r="186" spans="16381:16381">
      <c r="XFA186" s="27">
        <v>0.19</v>
      </c>
    </row>
    <row r="187" spans="16381:16381">
      <c r="XFA187" s="27">
        <v>0.191</v>
      </c>
    </row>
    <row r="188" spans="16381:16381">
      <c r="XFA188" s="27">
        <v>0.192</v>
      </c>
    </row>
    <row r="189" spans="16381:16381">
      <c r="XFA189" s="27">
        <v>0.193</v>
      </c>
    </row>
    <row r="190" spans="16381:16381">
      <c r="XFA190" s="27">
        <v>0.19400000000000001</v>
      </c>
    </row>
    <row r="191" spans="16381:16381">
      <c r="XFA191" s="27">
        <v>0.19500000000000001</v>
      </c>
    </row>
    <row r="192" spans="16381:16381">
      <c r="XFA192" s="27">
        <v>0.19600000000000001</v>
      </c>
    </row>
    <row r="193" spans="16381:16381">
      <c r="XFA193" s="27">
        <v>0.19700000000000001</v>
      </c>
    </row>
    <row r="194" spans="16381:16381">
      <c r="XFA194" s="27">
        <v>0.19800000000000001</v>
      </c>
    </row>
    <row r="195" spans="16381:16381">
      <c r="XFA195" s="27">
        <v>0.19900000000000001</v>
      </c>
    </row>
    <row r="196" spans="16381:16381">
      <c r="XFA196" s="27">
        <v>0.2</v>
      </c>
    </row>
  </sheetData>
  <mergeCells count="10">
    <mergeCell ref="A4:R4"/>
    <mergeCell ref="A6:R6"/>
    <mergeCell ref="A15:R15"/>
    <mergeCell ref="A27:H27"/>
    <mergeCell ref="A28:H28"/>
    <mergeCell ref="A29:H29"/>
    <mergeCell ref="A30:H30"/>
    <mergeCell ref="C24:H24"/>
    <mergeCell ref="A31:H31"/>
    <mergeCell ref="A32:H32"/>
  </mergeCells>
  <dataValidations disablePrompts="1" count="4">
    <dataValidation type="whole" sqref="XFD1" xr:uid="{00000000-0002-0000-0500-000000000000}">
      <formula1>1</formula1>
      <formula2>500</formula2>
    </dataValidation>
    <dataValidation type="whole" sqref="XFD2" xr:uid="{00000000-0002-0000-0500-000001000000}">
      <formula1>50</formula1>
      <formula2>1000</formula2>
    </dataValidation>
    <dataValidation type="whole" sqref="XFD3" xr:uid="{00000000-0002-0000-0500-000002000000}">
      <formula1>50</formula1>
      <formula2>300</formula2>
    </dataValidation>
    <dataValidation type="whole" sqref="XFD4" xr:uid="{00000000-0002-0000-0500-000003000000}">
      <formula1>1</formula1>
      <formula2>15</formula2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2</xdr:col>
                    <xdr:colOff>139700</xdr:colOff>
                    <xdr:row>21</xdr:row>
                    <xdr:rowOff>0</xdr:rowOff>
                  </from>
                  <to>
                    <xdr:col>12</xdr:col>
                    <xdr:colOff>831850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2</xdr:col>
                    <xdr:colOff>127000</xdr:colOff>
                    <xdr:row>18</xdr:row>
                    <xdr:rowOff>6350</xdr:rowOff>
                  </from>
                  <to>
                    <xdr:col>12</xdr:col>
                    <xdr:colOff>857250</xdr:colOff>
                    <xdr:row>18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Scroll Bar 3">
              <controlPr defaultSize="0" autoPict="0">
                <anchor moveWithCells="1">
                  <from>
                    <xdr:col>2</xdr:col>
                    <xdr:colOff>139700</xdr:colOff>
                    <xdr:row>16</xdr:row>
                    <xdr:rowOff>6350</xdr:rowOff>
                  </from>
                  <to>
                    <xdr:col>12</xdr:col>
                    <xdr:colOff>876300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Scroll Bar 4">
              <controlPr defaultSize="0" autoPict="0">
                <anchor moveWithCells="1">
                  <from>
                    <xdr:col>2</xdr:col>
                    <xdr:colOff>88900</xdr:colOff>
                    <xdr:row>23</xdr:row>
                    <xdr:rowOff>0</xdr:rowOff>
                  </from>
                  <to>
                    <xdr:col>12</xdr:col>
                    <xdr:colOff>850900</xdr:colOff>
                    <xdr:row>24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02E7-5338-4306-BCDC-50E9E4215E98}">
  <dimension ref="A1:L61"/>
  <sheetViews>
    <sheetView topLeftCell="A10" zoomScale="80" zoomScaleNormal="80" zoomScaleSheetLayoutView="42" workbookViewId="0">
      <selection activeCell="L34" sqref="L34"/>
    </sheetView>
  </sheetViews>
  <sheetFormatPr defaultRowHeight="13"/>
  <cols>
    <col min="1" max="1" width="25.75" style="5" bestFit="1" customWidth="1"/>
    <col min="2" max="2" width="3" style="5" customWidth="1"/>
    <col min="3" max="4" width="7.4140625" style="5" bestFit="1" customWidth="1"/>
    <col min="5" max="5" width="8.25" style="5" bestFit="1" customWidth="1"/>
    <col min="6" max="6" width="8.75" style="5" bestFit="1" customWidth="1"/>
    <col min="7" max="11" width="7" style="5" bestFit="1" customWidth="1"/>
    <col min="12" max="12" width="59.33203125" style="80" customWidth="1"/>
    <col min="13" max="16384" width="8.6640625" style="5"/>
  </cols>
  <sheetData>
    <row r="1" spans="1:12">
      <c r="A1" s="52"/>
      <c r="B1" s="3"/>
      <c r="C1" s="25" t="s">
        <v>18</v>
      </c>
      <c r="D1" s="25" t="s">
        <v>19</v>
      </c>
      <c r="E1" s="25" t="s">
        <v>20</v>
      </c>
      <c r="F1" s="25" t="s">
        <v>39</v>
      </c>
      <c r="G1" s="25" t="s">
        <v>21</v>
      </c>
      <c r="H1" s="25" t="s">
        <v>22</v>
      </c>
      <c r="I1" s="25" t="s">
        <v>23</v>
      </c>
      <c r="J1" s="25" t="s">
        <v>24</v>
      </c>
      <c r="K1" s="25" t="s">
        <v>25</v>
      </c>
      <c r="L1" s="79"/>
    </row>
    <row r="2" spans="1:12">
      <c r="A2" s="52"/>
      <c r="B2" s="3"/>
      <c r="C2" s="4" t="s">
        <v>0</v>
      </c>
      <c r="D2" s="4" t="s">
        <v>0</v>
      </c>
      <c r="E2" s="4" t="s">
        <v>0</v>
      </c>
      <c r="F2" s="4" t="s">
        <v>156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79"/>
    </row>
    <row r="3" spans="1:12">
      <c r="A3" s="63" t="s">
        <v>40</v>
      </c>
      <c r="B3" s="72"/>
      <c r="C3" s="73">
        <v>12</v>
      </c>
      <c r="D3" s="73">
        <v>12</v>
      </c>
      <c r="E3" s="73">
        <v>12</v>
      </c>
      <c r="F3" s="73">
        <v>5</v>
      </c>
      <c r="G3" s="73">
        <v>12</v>
      </c>
      <c r="H3" s="73">
        <v>12</v>
      </c>
      <c r="I3" s="73">
        <v>12</v>
      </c>
      <c r="J3" s="73">
        <v>12</v>
      </c>
      <c r="K3" s="73">
        <v>12</v>
      </c>
      <c r="L3" s="74" t="s">
        <v>157</v>
      </c>
    </row>
    <row r="4" spans="1:12">
      <c r="A4" s="106" t="s">
        <v>119</v>
      </c>
      <c r="B4" s="106"/>
      <c r="C4" s="107"/>
      <c r="D4" s="107"/>
      <c r="E4" s="107"/>
      <c r="F4" s="107"/>
      <c r="G4" s="107"/>
      <c r="H4" s="107"/>
      <c r="I4" s="107"/>
      <c r="J4" s="107"/>
      <c r="K4" s="107"/>
      <c r="L4" s="117"/>
    </row>
    <row r="5" spans="1:12">
      <c r="A5" s="52"/>
      <c r="B5" s="3"/>
      <c r="C5" s="6"/>
      <c r="D5" s="6"/>
      <c r="E5" s="6"/>
      <c r="F5" s="6"/>
      <c r="G5" s="6"/>
      <c r="H5" s="6"/>
      <c r="I5" s="6"/>
      <c r="J5" s="6"/>
      <c r="K5" s="6"/>
      <c r="L5" s="74"/>
    </row>
    <row r="6" spans="1:12">
      <c r="A6" s="106" t="s">
        <v>173</v>
      </c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17"/>
    </row>
    <row r="7" spans="1:12">
      <c r="A7" s="52" t="s">
        <v>126</v>
      </c>
      <c r="B7" s="3"/>
      <c r="C7" s="34">
        <f t="shared" ref="C7:K7" si="0">C24</f>
        <v>0</v>
      </c>
      <c r="D7" s="34">
        <f t="shared" si="0"/>
        <v>0</v>
      </c>
      <c r="E7" s="34">
        <f t="shared" si="0"/>
        <v>4800</v>
      </c>
      <c r="F7" s="34">
        <f t="shared" si="0"/>
        <v>6000</v>
      </c>
      <c r="G7" s="34">
        <f t="shared" si="0"/>
        <v>6000</v>
      </c>
      <c r="H7" s="34">
        <f t="shared" si="0"/>
        <v>6000</v>
      </c>
      <c r="I7" s="34">
        <f t="shared" si="0"/>
        <v>6000</v>
      </c>
      <c r="J7" s="34">
        <f t="shared" si="0"/>
        <v>6000</v>
      </c>
      <c r="K7" s="34">
        <f t="shared" si="0"/>
        <v>6000</v>
      </c>
      <c r="L7" s="74"/>
    </row>
    <row r="8" spans="1:12">
      <c r="A8" s="53" t="s">
        <v>140</v>
      </c>
      <c r="B8" s="54"/>
      <c r="C8" s="55">
        <f t="shared" ref="C8:K9" si="1">C33</f>
        <v>0</v>
      </c>
      <c r="D8" s="55">
        <f t="shared" si="1"/>
        <v>0</v>
      </c>
      <c r="E8" s="55">
        <f t="shared" si="1"/>
        <v>0</v>
      </c>
      <c r="F8" s="55">
        <f t="shared" si="1"/>
        <v>0</v>
      </c>
      <c r="G8" s="97" t="str">
        <f t="shared" si="1"/>
        <v/>
      </c>
      <c r="H8" s="55" t="str">
        <f t="shared" si="1"/>
        <v/>
      </c>
      <c r="I8" s="55" t="str">
        <f t="shared" si="1"/>
        <v/>
      </c>
      <c r="J8" s="55" t="str">
        <f t="shared" si="1"/>
        <v/>
      </c>
      <c r="K8" s="55" t="str">
        <f t="shared" si="1"/>
        <v/>
      </c>
      <c r="L8" s="74"/>
    </row>
    <row r="9" spans="1:12">
      <c r="A9" s="52" t="s">
        <v>141</v>
      </c>
      <c r="B9" s="3"/>
      <c r="C9" s="35" t="str">
        <f t="shared" si="1"/>
        <v/>
      </c>
      <c r="D9" s="35" t="str">
        <f t="shared" si="1"/>
        <v/>
      </c>
      <c r="E9" s="35">
        <f t="shared" si="1"/>
        <v>0</v>
      </c>
      <c r="F9" s="35">
        <f t="shared" si="1"/>
        <v>0</v>
      </c>
      <c r="G9" s="35" t="str">
        <f t="shared" si="1"/>
        <v/>
      </c>
      <c r="H9" s="35" t="str">
        <f t="shared" si="1"/>
        <v/>
      </c>
      <c r="I9" s="35" t="str">
        <f t="shared" si="1"/>
        <v/>
      </c>
      <c r="J9" s="35" t="str">
        <f t="shared" si="1"/>
        <v/>
      </c>
      <c r="K9" s="35" t="str">
        <f t="shared" si="1"/>
        <v/>
      </c>
      <c r="L9" s="74"/>
    </row>
    <row r="10" spans="1:12">
      <c r="A10" s="52" t="s">
        <v>146</v>
      </c>
      <c r="B10" s="3"/>
      <c r="C10" s="35" t="str">
        <f t="shared" ref="C10:K11" si="2">C38</f>
        <v/>
      </c>
      <c r="D10" s="35" t="str">
        <f t="shared" si="2"/>
        <v/>
      </c>
      <c r="E10" s="35" t="str">
        <f t="shared" si="2"/>
        <v/>
      </c>
      <c r="F10" s="35" t="str">
        <f t="shared" si="2"/>
        <v/>
      </c>
      <c r="G10" s="35">
        <f t="shared" si="2"/>
        <v>0</v>
      </c>
      <c r="H10" s="35">
        <f t="shared" si="2"/>
        <v>0</v>
      </c>
      <c r="I10" s="35">
        <f t="shared" si="2"/>
        <v>0</v>
      </c>
      <c r="J10" s="35">
        <f t="shared" si="2"/>
        <v>0</v>
      </c>
      <c r="K10" s="35">
        <f t="shared" si="2"/>
        <v>0</v>
      </c>
      <c r="L10" s="74"/>
    </row>
    <row r="11" spans="1:12">
      <c r="A11" s="52" t="s">
        <v>147</v>
      </c>
      <c r="B11" s="3"/>
      <c r="C11" s="34">
        <f t="shared" si="2"/>
        <v>14</v>
      </c>
      <c r="D11" s="34">
        <f t="shared" si="2"/>
        <v>15</v>
      </c>
      <c r="E11" s="34">
        <f t="shared" si="2"/>
        <v>13</v>
      </c>
      <c r="F11" s="34">
        <f t="shared" si="2"/>
        <v>6</v>
      </c>
      <c r="G11" s="34" t="str">
        <f t="shared" si="2"/>
        <v/>
      </c>
      <c r="H11" s="34" t="str">
        <f t="shared" si="2"/>
        <v/>
      </c>
      <c r="I11" s="34" t="str">
        <f t="shared" si="2"/>
        <v/>
      </c>
      <c r="J11" s="34" t="str">
        <f t="shared" si="2"/>
        <v/>
      </c>
      <c r="K11" s="34" t="str">
        <f t="shared" si="2"/>
        <v/>
      </c>
      <c r="L11" s="74"/>
    </row>
    <row r="12" spans="1:12">
      <c r="A12" s="52" t="s">
        <v>163</v>
      </c>
      <c r="B12" s="3"/>
      <c r="C12" s="44">
        <f t="shared" ref="C12:K13" si="3">C42</f>
        <v>434.28571428571428</v>
      </c>
      <c r="D12" s="44">
        <f t="shared" si="3"/>
        <v>113.04733333333334</v>
      </c>
      <c r="E12" s="44">
        <f t="shared" si="3"/>
        <v>1382.1830769230769</v>
      </c>
      <c r="F12" s="44">
        <f t="shared" si="3"/>
        <v>1707.1666666666667</v>
      </c>
      <c r="G12" s="44">
        <f t="shared" si="3"/>
        <v>0</v>
      </c>
      <c r="H12" s="44">
        <f t="shared" si="3"/>
        <v>0</v>
      </c>
      <c r="I12" s="44">
        <f t="shared" si="3"/>
        <v>0</v>
      </c>
      <c r="J12" s="44">
        <f t="shared" si="3"/>
        <v>0</v>
      </c>
      <c r="K12" s="44">
        <f t="shared" si="3"/>
        <v>0</v>
      </c>
      <c r="L12" s="74"/>
    </row>
    <row r="13" spans="1:12">
      <c r="A13" s="53" t="s">
        <v>149</v>
      </c>
      <c r="B13" s="54"/>
      <c r="C13" s="56">
        <f t="shared" si="3"/>
        <v>6080</v>
      </c>
      <c r="D13" s="56">
        <f t="shared" si="3"/>
        <v>1695.71</v>
      </c>
      <c r="E13" s="56">
        <f t="shared" si="3"/>
        <v>17968.38</v>
      </c>
      <c r="F13" s="56">
        <f t="shared" si="3"/>
        <v>10243</v>
      </c>
      <c r="G13" s="56" t="str">
        <f t="shared" si="3"/>
        <v/>
      </c>
      <c r="H13" s="56" t="str">
        <f t="shared" si="3"/>
        <v/>
      </c>
      <c r="I13" s="56" t="str">
        <f t="shared" si="3"/>
        <v/>
      </c>
      <c r="J13" s="56" t="str">
        <f t="shared" si="3"/>
        <v/>
      </c>
      <c r="K13" s="56" t="str">
        <f t="shared" si="3"/>
        <v/>
      </c>
      <c r="L13" s="74"/>
    </row>
    <row r="14" spans="1:12">
      <c r="A14" s="52" t="s">
        <v>16</v>
      </c>
      <c r="B14" s="3"/>
      <c r="C14" s="35">
        <f t="shared" ref="C14:K16" si="4">C46</f>
        <v>0.05</v>
      </c>
      <c r="D14" s="35">
        <f t="shared" si="4"/>
        <v>5.0002653755653978E-2</v>
      </c>
      <c r="E14" s="35">
        <f t="shared" si="4"/>
        <v>5.0000055653319879E-2</v>
      </c>
      <c r="F14" s="35">
        <f t="shared" si="4"/>
        <v>4.9999999999999996E-2</v>
      </c>
      <c r="G14" s="35">
        <f t="shared" si="4"/>
        <v>0</v>
      </c>
      <c r="H14" s="35">
        <f t="shared" si="4"/>
        <v>0</v>
      </c>
      <c r="I14" s="35">
        <f t="shared" si="4"/>
        <v>0</v>
      </c>
      <c r="J14" s="35">
        <f t="shared" si="4"/>
        <v>0</v>
      </c>
      <c r="K14" s="35">
        <f t="shared" si="4"/>
        <v>0</v>
      </c>
      <c r="L14" s="74"/>
    </row>
    <row r="15" spans="1:12">
      <c r="A15" s="37" t="s">
        <v>150</v>
      </c>
      <c r="B15" s="7"/>
      <c r="C15" s="46">
        <f t="shared" si="4"/>
        <v>304</v>
      </c>
      <c r="D15" s="46">
        <f t="shared" si="4"/>
        <v>84.79</v>
      </c>
      <c r="E15" s="46">
        <f t="shared" si="4"/>
        <v>898.42</v>
      </c>
      <c r="F15" s="46">
        <f t="shared" si="4"/>
        <v>512.15</v>
      </c>
      <c r="G15" s="46" t="str">
        <f t="shared" si="4"/>
        <v/>
      </c>
      <c r="H15" s="46" t="str">
        <f t="shared" si="4"/>
        <v/>
      </c>
      <c r="I15" s="46" t="str">
        <f t="shared" si="4"/>
        <v/>
      </c>
      <c r="J15" s="46" t="str">
        <f t="shared" si="4"/>
        <v/>
      </c>
      <c r="K15" s="46" t="str">
        <f t="shared" si="4"/>
        <v/>
      </c>
      <c r="L15" s="74"/>
    </row>
    <row r="16" spans="1:12">
      <c r="A16" s="52" t="s">
        <v>49</v>
      </c>
      <c r="B16" s="3"/>
      <c r="C16" s="35">
        <f t="shared" si="4"/>
        <v>0</v>
      </c>
      <c r="D16" s="35">
        <f t="shared" si="4"/>
        <v>-0.72108552631578937</v>
      </c>
      <c r="E16" s="35">
        <f t="shared" si="4"/>
        <v>9.5958249793607724</v>
      </c>
      <c r="F16" s="35">
        <f t="shared" si="4"/>
        <v>0</v>
      </c>
      <c r="G16" s="35">
        <f t="shared" si="4"/>
        <v>0</v>
      </c>
      <c r="H16" s="35" t="str">
        <f t="shared" si="4"/>
        <v/>
      </c>
      <c r="I16" s="35" t="str">
        <f t="shared" si="4"/>
        <v/>
      </c>
      <c r="J16" s="35" t="str">
        <f t="shared" si="4"/>
        <v/>
      </c>
      <c r="K16" s="35" t="str">
        <f t="shared" si="4"/>
        <v/>
      </c>
      <c r="L16" s="74"/>
    </row>
    <row r="17" spans="1:12">
      <c r="A17" s="52"/>
      <c r="B17" s="3"/>
      <c r="C17" s="6"/>
      <c r="D17" s="6"/>
      <c r="E17" s="6"/>
      <c r="F17" s="6"/>
      <c r="G17" s="6"/>
      <c r="H17" s="6"/>
      <c r="I17" s="6"/>
      <c r="J17" s="6"/>
      <c r="K17" s="6"/>
      <c r="L17" s="74"/>
    </row>
    <row r="18" spans="1:12">
      <c r="A18" s="52"/>
      <c r="B18" s="3"/>
      <c r="C18" s="6"/>
      <c r="D18" s="6"/>
      <c r="E18" s="6"/>
      <c r="F18" s="6"/>
      <c r="G18" s="6"/>
      <c r="H18" s="6"/>
      <c r="I18" s="6"/>
      <c r="J18" s="6"/>
      <c r="K18" s="6"/>
      <c r="L18" s="74"/>
    </row>
    <row r="19" spans="1:12">
      <c r="A19" s="106" t="s">
        <v>120</v>
      </c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17"/>
    </row>
    <row r="20" spans="1:12">
      <c r="A20" s="52"/>
      <c r="B20" s="3"/>
      <c r="C20" s="6"/>
      <c r="D20" s="6"/>
      <c r="E20" s="6"/>
      <c r="F20" s="6"/>
      <c r="G20" s="6"/>
      <c r="H20" s="6"/>
      <c r="I20" s="6"/>
      <c r="J20" s="6"/>
      <c r="K20" s="6"/>
      <c r="L20" s="75" t="s">
        <v>121</v>
      </c>
    </row>
    <row r="21" spans="1:12">
      <c r="A21" s="103" t="s">
        <v>122</v>
      </c>
      <c r="B21" s="103"/>
      <c r="C21" s="115"/>
      <c r="D21" s="115"/>
      <c r="E21" s="115"/>
      <c r="F21" s="115"/>
      <c r="G21" s="115"/>
      <c r="H21" s="115"/>
      <c r="I21" s="115"/>
      <c r="J21" s="115"/>
      <c r="K21" s="115"/>
      <c r="L21" s="116"/>
    </row>
    <row r="22" spans="1:12">
      <c r="A22" s="52" t="s">
        <v>123</v>
      </c>
      <c r="B22" s="3"/>
      <c r="C22" s="33">
        <v>2000</v>
      </c>
      <c r="D22" s="33">
        <v>3500</v>
      </c>
      <c r="E22" s="33">
        <v>4800</v>
      </c>
      <c r="F22" s="33">
        <v>6000</v>
      </c>
      <c r="G22" s="34">
        <f>IF(F24="","",F24)</f>
        <v>6000</v>
      </c>
      <c r="H22" s="34">
        <f>IF(G24="","",G24)</f>
        <v>6000</v>
      </c>
      <c r="I22" s="34">
        <f>IF(H24="","",H24)</f>
        <v>6000</v>
      </c>
      <c r="J22" s="34">
        <f>IF(I24="","",I24)</f>
        <v>6000</v>
      </c>
      <c r="K22" s="34">
        <f>IF(J24="","",J24)</f>
        <v>6000</v>
      </c>
      <c r="L22" s="74" t="s">
        <v>124</v>
      </c>
    </row>
    <row r="23" spans="1:12">
      <c r="A23" s="52" t="s">
        <v>125</v>
      </c>
      <c r="B23" s="3"/>
      <c r="C23" s="33"/>
      <c r="D23" s="33"/>
      <c r="E23" s="33"/>
      <c r="F23" s="33"/>
      <c r="G23" s="33"/>
      <c r="H23" s="33"/>
      <c r="I23" s="33"/>
      <c r="J23" s="33"/>
      <c r="K23" s="33"/>
      <c r="L23" s="74" t="s">
        <v>158</v>
      </c>
    </row>
    <row r="24" spans="1:12">
      <c r="A24" s="52" t="s">
        <v>126</v>
      </c>
      <c r="B24" s="3"/>
      <c r="C24" s="34"/>
      <c r="D24" s="34"/>
      <c r="E24" s="34">
        <f t="shared" ref="E24:K24" si="5">IF(AND(E22="",E23=""),"",SUM(E22:E23))</f>
        <v>4800</v>
      </c>
      <c r="F24" s="34">
        <f t="shared" si="5"/>
        <v>6000</v>
      </c>
      <c r="G24" s="34">
        <f t="shared" si="5"/>
        <v>6000</v>
      </c>
      <c r="H24" s="34">
        <f t="shared" si="5"/>
        <v>6000</v>
      </c>
      <c r="I24" s="34">
        <f t="shared" si="5"/>
        <v>6000</v>
      </c>
      <c r="J24" s="34">
        <f t="shared" si="5"/>
        <v>6000</v>
      </c>
      <c r="K24" s="34">
        <f t="shared" si="5"/>
        <v>6000</v>
      </c>
      <c r="L24" s="74" t="s">
        <v>127</v>
      </c>
    </row>
    <row r="25" spans="1:12">
      <c r="A25" s="52" t="s">
        <v>128</v>
      </c>
      <c r="B25" s="3"/>
      <c r="C25" s="35"/>
      <c r="D25" s="35"/>
      <c r="E25" s="35" t="str">
        <f>IFERROR(E24/D24-1,"")</f>
        <v/>
      </c>
      <c r="F25" s="35"/>
      <c r="G25" s="35"/>
      <c r="H25" s="35">
        <f>IFERROR(H24/G24-1,"")</f>
        <v>0</v>
      </c>
      <c r="I25" s="35">
        <f>IFERROR(I24/H24-1,"")</f>
        <v>0</v>
      </c>
      <c r="J25" s="35">
        <f>IFERROR(J24/I24-1,"")</f>
        <v>0</v>
      </c>
      <c r="K25" s="35">
        <f>IFERROR(K24/J24-1,"")</f>
        <v>0</v>
      </c>
      <c r="L25" s="74" t="s">
        <v>129</v>
      </c>
    </row>
    <row r="26" spans="1:12">
      <c r="A26" s="52"/>
      <c r="B26" s="3"/>
      <c r="C26" s="6"/>
      <c r="D26" s="6"/>
      <c r="E26" s="6"/>
      <c r="F26" s="6"/>
      <c r="G26" s="6"/>
      <c r="H26" s="6"/>
      <c r="I26" s="6"/>
      <c r="J26" s="6"/>
      <c r="K26" s="6"/>
      <c r="L26" s="74"/>
    </row>
    <row r="27" spans="1:12">
      <c r="A27" s="103" t="s">
        <v>130</v>
      </c>
      <c r="B27" s="103"/>
      <c r="C27" s="115"/>
      <c r="D27" s="115"/>
      <c r="E27" s="115"/>
      <c r="F27" s="115"/>
      <c r="G27" s="115"/>
      <c r="H27" s="115"/>
      <c r="I27" s="115"/>
      <c r="J27" s="115"/>
      <c r="K27" s="115"/>
      <c r="L27" s="116"/>
    </row>
    <row r="28" spans="1:12">
      <c r="A28" s="52" t="s">
        <v>131</v>
      </c>
      <c r="B28" s="3"/>
      <c r="C28" s="41"/>
      <c r="D28" s="34" t="str">
        <f t="shared" ref="D28:K28" si="6">IF(C33="","",C33)</f>
        <v/>
      </c>
      <c r="E28" s="34" t="str">
        <f t="shared" si="6"/>
        <v/>
      </c>
      <c r="F28" s="34" t="str">
        <f t="shared" si="6"/>
        <v/>
      </c>
      <c r="G28" s="34" t="str">
        <f t="shared" si="6"/>
        <v/>
      </c>
      <c r="H28" s="34" t="str">
        <f t="shared" si="6"/>
        <v/>
      </c>
      <c r="I28" s="34" t="str">
        <f t="shared" si="6"/>
        <v/>
      </c>
      <c r="J28" s="34" t="str">
        <f t="shared" si="6"/>
        <v/>
      </c>
      <c r="K28" s="34" t="str">
        <f t="shared" si="6"/>
        <v/>
      </c>
      <c r="L28" s="74" t="s">
        <v>159</v>
      </c>
    </row>
    <row r="29" spans="1:12">
      <c r="A29" s="52" t="s">
        <v>132</v>
      </c>
      <c r="B29" s="3"/>
      <c r="C29" s="36"/>
      <c r="D29" s="36"/>
      <c r="E29" s="36"/>
      <c r="F29" s="36"/>
      <c r="G29" s="36"/>
      <c r="H29" s="36"/>
      <c r="I29" s="36"/>
      <c r="J29" s="36"/>
      <c r="K29" s="36"/>
      <c r="L29" s="74" t="s">
        <v>133</v>
      </c>
    </row>
    <row r="30" spans="1:12">
      <c r="A30" s="52" t="s">
        <v>134</v>
      </c>
      <c r="B30" s="3"/>
      <c r="C30" s="34" t="str">
        <f t="shared" ref="C30:K30" si="7">IF(OR(C28="",C29=""),"",C28*C29)</f>
        <v/>
      </c>
      <c r="D30" s="34" t="str">
        <f t="shared" si="7"/>
        <v/>
      </c>
      <c r="E30" s="34" t="str">
        <f t="shared" si="7"/>
        <v/>
      </c>
      <c r="F30" s="34" t="str">
        <f t="shared" si="7"/>
        <v/>
      </c>
      <c r="G30" s="34" t="str">
        <f t="shared" si="7"/>
        <v/>
      </c>
      <c r="H30" s="34" t="str">
        <f t="shared" si="7"/>
        <v/>
      </c>
      <c r="I30" s="34" t="str">
        <f t="shared" si="7"/>
        <v/>
      </c>
      <c r="J30" s="34" t="str">
        <f t="shared" si="7"/>
        <v/>
      </c>
      <c r="K30" s="34" t="str">
        <f t="shared" si="7"/>
        <v/>
      </c>
      <c r="L30" s="74" t="s">
        <v>135</v>
      </c>
    </row>
    <row r="31" spans="1:12">
      <c r="A31" s="52" t="s">
        <v>136</v>
      </c>
      <c r="B31" s="3"/>
      <c r="C31" s="36"/>
      <c r="D31" s="36"/>
      <c r="E31" s="36"/>
      <c r="F31" s="36"/>
      <c r="G31" s="36"/>
      <c r="H31" s="36"/>
      <c r="I31" s="36"/>
      <c r="J31" s="36"/>
      <c r="K31" s="36"/>
      <c r="L31" s="74" t="s">
        <v>137</v>
      </c>
    </row>
    <row r="32" spans="1:12">
      <c r="A32" s="52" t="s">
        <v>138</v>
      </c>
      <c r="B32" s="3"/>
      <c r="C32" s="34" t="str">
        <f t="shared" ref="C32:K32" si="8">IF(OR(C23="",C31=""),"",C23*C31)</f>
        <v/>
      </c>
      <c r="D32" s="34" t="str">
        <f t="shared" si="8"/>
        <v/>
      </c>
      <c r="E32" s="34" t="str">
        <f t="shared" si="8"/>
        <v/>
      </c>
      <c r="F32" s="34" t="str">
        <f t="shared" si="8"/>
        <v/>
      </c>
      <c r="G32" s="34" t="str">
        <f t="shared" si="8"/>
        <v/>
      </c>
      <c r="H32" s="34" t="str">
        <f t="shared" si="8"/>
        <v/>
      </c>
      <c r="I32" s="34" t="str">
        <f t="shared" si="8"/>
        <v/>
      </c>
      <c r="J32" s="34" t="str">
        <f t="shared" si="8"/>
        <v/>
      </c>
      <c r="K32" s="34" t="str">
        <f t="shared" si="8"/>
        <v/>
      </c>
      <c r="L32" s="74" t="s">
        <v>139</v>
      </c>
    </row>
    <row r="33" spans="1:12">
      <c r="A33" s="52" t="s">
        <v>140</v>
      </c>
      <c r="B33" s="3"/>
      <c r="C33" s="33"/>
      <c r="D33" s="33"/>
      <c r="E33" s="33"/>
      <c r="F33" s="33"/>
      <c r="G33" s="34" t="str">
        <f>IF(AND(G30="",G32=""),"",SUM(G30,G32))</f>
        <v/>
      </c>
      <c r="H33" s="34" t="str">
        <f>IF(AND(H30="",H32=""),"",SUM(H30,H32))</f>
        <v/>
      </c>
      <c r="I33" s="34" t="str">
        <f>IF(AND(I30="",I32=""),"",SUM(I30,I32))</f>
        <v/>
      </c>
      <c r="J33" s="34" t="str">
        <f>IF(AND(J30="",J32=""),"",SUM(J30,J32))</f>
        <v/>
      </c>
      <c r="K33" s="34" t="str">
        <f>IF(AND(K30="",K32=""),"",SUM(K30,K32))</f>
        <v/>
      </c>
      <c r="L33" s="74" t="s">
        <v>160</v>
      </c>
    </row>
    <row r="34" spans="1:12">
      <c r="A34" s="52" t="s">
        <v>141</v>
      </c>
      <c r="B34" s="3"/>
      <c r="C34" s="35" t="str">
        <f t="shared" ref="C34:K34" si="9">IFERROR(C33/C24,"")</f>
        <v/>
      </c>
      <c r="D34" s="35" t="str">
        <f t="shared" si="9"/>
        <v/>
      </c>
      <c r="E34" s="35">
        <f t="shared" si="9"/>
        <v>0</v>
      </c>
      <c r="F34" s="35">
        <f t="shared" si="9"/>
        <v>0</v>
      </c>
      <c r="G34" s="35" t="str">
        <f t="shared" si="9"/>
        <v/>
      </c>
      <c r="H34" s="35" t="str">
        <f t="shared" si="9"/>
        <v/>
      </c>
      <c r="I34" s="35" t="str">
        <f t="shared" si="9"/>
        <v/>
      </c>
      <c r="J34" s="35" t="str">
        <f t="shared" si="9"/>
        <v/>
      </c>
      <c r="K34" s="35" t="str">
        <f t="shared" si="9"/>
        <v/>
      </c>
      <c r="L34" s="74" t="s">
        <v>142</v>
      </c>
    </row>
    <row r="35" spans="1:12">
      <c r="A35" s="52" t="s">
        <v>143</v>
      </c>
      <c r="B35" s="3"/>
      <c r="C35" s="35"/>
      <c r="D35" s="35" t="str">
        <f>IFERROR(D33/C33-1,"")</f>
        <v/>
      </c>
      <c r="E35" s="35" t="str">
        <f>IFERROR(E33/D33-1,"")</f>
        <v/>
      </c>
      <c r="F35" s="35"/>
      <c r="G35" s="35"/>
      <c r="H35" s="35" t="str">
        <f>IFERROR(H33/G33-1,"")</f>
        <v/>
      </c>
      <c r="I35" s="35" t="str">
        <f>IFERROR(I33/H33-1,"")</f>
        <v/>
      </c>
      <c r="J35" s="35" t="str">
        <f>IFERROR(J33/I33-1,"")</f>
        <v/>
      </c>
      <c r="K35" s="35" t="str">
        <f>IFERROR(K33/J33-1,"")</f>
        <v/>
      </c>
      <c r="L35" s="74" t="s">
        <v>144</v>
      </c>
    </row>
    <row r="36" spans="1:12">
      <c r="A36" s="52"/>
      <c r="B36" s="3"/>
      <c r="C36" s="6"/>
      <c r="D36" s="6"/>
      <c r="E36" s="6"/>
      <c r="F36" s="6"/>
      <c r="G36" s="6"/>
      <c r="H36" s="6"/>
      <c r="I36" s="6"/>
      <c r="J36" s="6"/>
      <c r="K36" s="6"/>
      <c r="L36" s="74"/>
    </row>
    <row r="37" spans="1:12">
      <c r="A37" s="103" t="s">
        <v>145</v>
      </c>
      <c r="B37" s="103"/>
      <c r="C37" s="115"/>
      <c r="D37" s="115"/>
      <c r="E37" s="115"/>
      <c r="F37" s="115"/>
      <c r="G37" s="115"/>
      <c r="H37" s="115"/>
      <c r="I37" s="115"/>
      <c r="J37" s="115"/>
      <c r="K37" s="115"/>
      <c r="L37" s="116"/>
    </row>
    <row r="38" spans="1:12" ht="26">
      <c r="A38" s="52" t="s">
        <v>146</v>
      </c>
      <c r="B38" s="3"/>
      <c r="C38" s="35" t="str">
        <f>IFERROR(C39/C33,"")</f>
        <v/>
      </c>
      <c r="D38" s="35" t="str">
        <f>IFERROR(D39/D33,"")</f>
        <v/>
      </c>
      <c r="E38" s="35" t="str">
        <f>IFERROR(E39/E33,"")</f>
        <v/>
      </c>
      <c r="F38" s="35" t="str">
        <f>IFERROR(F39/F33,"")</f>
        <v/>
      </c>
      <c r="G38" s="42"/>
      <c r="H38" s="42"/>
      <c r="I38" s="42"/>
      <c r="J38" s="42"/>
      <c r="K38" s="42"/>
      <c r="L38" s="74" t="s">
        <v>161</v>
      </c>
    </row>
    <row r="39" spans="1:12" ht="26">
      <c r="A39" s="52" t="s">
        <v>147</v>
      </c>
      <c r="B39" s="3"/>
      <c r="C39" s="43">
        <v>14</v>
      </c>
      <c r="D39" s="43">
        <v>15</v>
      </c>
      <c r="E39" s="43">
        <v>13</v>
      </c>
      <c r="F39" s="43">
        <v>6</v>
      </c>
      <c r="G39" s="34" t="str">
        <f>IF(OR(G33="",G38=""),"",G33*G38)</f>
        <v/>
      </c>
      <c r="H39" s="34" t="str">
        <f>IF(OR(H33="",H38=""),"",H33*H38)</f>
        <v/>
      </c>
      <c r="I39" s="34" t="str">
        <f>IF(OR(I33="",I38=""),"",I33*I38)</f>
        <v/>
      </c>
      <c r="J39" s="34" t="str">
        <f>IF(OR(J33="",J38=""),"",J33*J38)</f>
        <v/>
      </c>
      <c r="K39" s="34" t="str">
        <f>IF(OR(K33="",K38=""),"",K33*K38)</f>
        <v/>
      </c>
      <c r="L39" s="74" t="s">
        <v>162</v>
      </c>
    </row>
    <row r="40" spans="1:12">
      <c r="A40" s="52"/>
      <c r="B40" s="3"/>
      <c r="C40" s="6"/>
      <c r="D40" s="6"/>
      <c r="E40" s="6"/>
      <c r="F40" s="6"/>
      <c r="G40" s="6"/>
      <c r="H40" s="6"/>
      <c r="I40" s="6"/>
      <c r="J40" s="6"/>
      <c r="K40" s="6"/>
      <c r="L40" s="74"/>
    </row>
    <row r="41" spans="1:12">
      <c r="A41" s="103" t="s">
        <v>148</v>
      </c>
      <c r="B41" s="103"/>
      <c r="C41" s="115"/>
      <c r="D41" s="115"/>
      <c r="E41" s="115"/>
      <c r="F41" s="115"/>
      <c r="G41" s="115"/>
      <c r="H41" s="115"/>
      <c r="I41" s="115"/>
      <c r="J41" s="115"/>
      <c r="K41" s="115"/>
      <c r="L41" s="116"/>
    </row>
    <row r="42" spans="1:12">
      <c r="A42" s="52" t="s">
        <v>163</v>
      </c>
      <c r="B42" s="3"/>
      <c r="C42" s="44">
        <f>IFERROR(C43/C39,"")</f>
        <v>434.28571428571428</v>
      </c>
      <c r="D42" s="44">
        <f>IFERROR(D43/D39,"")</f>
        <v>113.04733333333334</v>
      </c>
      <c r="E42" s="44">
        <f>IFERROR(E43/E39,"")</f>
        <v>1382.1830769230769</v>
      </c>
      <c r="F42" s="44">
        <f>IFERROR(F43/F39,"")</f>
        <v>1707.1666666666667</v>
      </c>
      <c r="G42" s="45"/>
      <c r="H42" s="45"/>
      <c r="I42" s="45"/>
      <c r="J42" s="45"/>
      <c r="K42" s="45"/>
      <c r="L42" s="74" t="s">
        <v>164</v>
      </c>
    </row>
    <row r="43" spans="1:12">
      <c r="A43" s="52" t="s">
        <v>149</v>
      </c>
      <c r="B43" s="3"/>
      <c r="C43" s="59">
        <v>6080</v>
      </c>
      <c r="D43" s="59">
        <v>1695.71</v>
      </c>
      <c r="E43" s="59">
        <v>17968.38</v>
      </c>
      <c r="F43" s="59">
        <v>10243</v>
      </c>
      <c r="G43" s="44" t="str">
        <f>IF(OR(G39="",G42=""),"",G39*G42)</f>
        <v/>
      </c>
      <c r="H43" s="44" t="str">
        <f>IF(OR(H39="",H42=""),"",H39*H42)</f>
        <v/>
      </c>
      <c r="I43" s="44" t="str">
        <f>IF(OR(I39="",I42=""),"",I39*I42)</f>
        <v/>
      </c>
      <c r="J43" s="44" t="str">
        <f>IF(OR(J39="",J42=""),"",J39*J42)</f>
        <v/>
      </c>
      <c r="K43" s="44" t="str">
        <f>IF(OR(K39="",K42=""),"",K39*K42)</f>
        <v/>
      </c>
      <c r="L43" s="74" t="s">
        <v>165</v>
      </c>
    </row>
    <row r="44" spans="1:12">
      <c r="A44" s="52"/>
      <c r="B44" s="3"/>
      <c r="C44" s="6"/>
      <c r="D44" s="6"/>
      <c r="E44" s="6"/>
      <c r="F44" s="6"/>
      <c r="G44" s="6"/>
      <c r="H44" s="6"/>
      <c r="I44" s="6"/>
      <c r="J44" s="6"/>
      <c r="K44" s="6"/>
      <c r="L44" s="74"/>
    </row>
    <row r="45" spans="1:12">
      <c r="A45" s="103" t="s">
        <v>17</v>
      </c>
      <c r="B45" s="103"/>
      <c r="C45" s="115"/>
      <c r="D45" s="115"/>
      <c r="E45" s="115"/>
      <c r="F45" s="115"/>
      <c r="G45" s="115"/>
      <c r="H45" s="115"/>
      <c r="I45" s="115"/>
      <c r="J45" s="115"/>
      <c r="K45" s="115"/>
      <c r="L45" s="116"/>
    </row>
    <row r="46" spans="1:12">
      <c r="A46" s="52" t="s">
        <v>16</v>
      </c>
      <c r="B46" s="3"/>
      <c r="C46" s="35">
        <f>IFERROR(C47/C43,"")</f>
        <v>0.05</v>
      </c>
      <c r="D46" s="35">
        <f>IFERROR(D47/D43,"")</f>
        <v>5.0002653755653978E-2</v>
      </c>
      <c r="E46" s="35">
        <f>IFERROR(E47/E43,"")</f>
        <v>5.0000055653319879E-2</v>
      </c>
      <c r="F46" s="35">
        <f>IFERROR(F47/F43,"")</f>
        <v>4.9999999999999996E-2</v>
      </c>
      <c r="G46" s="42"/>
      <c r="H46" s="42"/>
      <c r="I46" s="42"/>
      <c r="J46" s="42"/>
      <c r="K46" s="42"/>
      <c r="L46" s="74" t="s">
        <v>166</v>
      </c>
    </row>
    <row r="47" spans="1:12">
      <c r="A47" s="52" t="s">
        <v>150</v>
      </c>
      <c r="B47" s="3"/>
      <c r="C47" s="59">
        <v>304</v>
      </c>
      <c r="D47" s="59">
        <v>84.79</v>
      </c>
      <c r="E47" s="59">
        <v>898.42</v>
      </c>
      <c r="F47" s="59">
        <v>512.15</v>
      </c>
      <c r="G47" s="44" t="str">
        <f>IF(OR(G43="",G46=""),"",G43*G46)</f>
        <v/>
      </c>
      <c r="H47" s="44" t="str">
        <f>IF(OR(H43="",H46=""),"",H43*H46)</f>
        <v/>
      </c>
      <c r="I47" s="44" t="str">
        <f>IF(OR(I43="",I46=""),"",I43*I46)</f>
        <v/>
      </c>
      <c r="J47" s="44" t="str">
        <f>IF(OR(J43="",J46=""),"",J43*J46)</f>
        <v/>
      </c>
      <c r="K47" s="44" t="str">
        <f>IF(OR(K43="",K46=""),"",K43*K46)</f>
        <v/>
      </c>
      <c r="L47" s="74" t="s">
        <v>167</v>
      </c>
    </row>
    <row r="48" spans="1:12">
      <c r="A48" s="52" t="s">
        <v>49</v>
      </c>
      <c r="B48" s="3"/>
      <c r="C48" s="35"/>
      <c r="D48" s="35">
        <f>IFERROR(D47/C47-1,"")</f>
        <v>-0.72108552631578937</v>
      </c>
      <c r="E48" s="35">
        <f>IFERROR(E47/D47-1,"")</f>
        <v>9.5958249793607724</v>
      </c>
      <c r="F48" s="35"/>
      <c r="G48" s="35"/>
      <c r="H48" s="35" t="str">
        <f>IFERROR(H47/G47-1,"")</f>
        <v/>
      </c>
      <c r="I48" s="35" t="str">
        <f>IFERROR(I47/H47-1,"")</f>
        <v/>
      </c>
      <c r="J48" s="35" t="str">
        <f>IFERROR(J47/I47-1,"")</f>
        <v/>
      </c>
      <c r="K48" s="35" t="str">
        <f>IFERROR(K47/J47-1,"")</f>
        <v/>
      </c>
      <c r="L48" s="74" t="s">
        <v>174</v>
      </c>
    </row>
    <row r="49" spans="1:12">
      <c r="A49" s="52"/>
      <c r="B49" s="3"/>
      <c r="C49" s="6"/>
      <c r="D49" s="6"/>
      <c r="E49" s="6"/>
      <c r="F49" s="6"/>
      <c r="G49" s="6"/>
      <c r="H49" s="6"/>
      <c r="I49" s="6"/>
      <c r="J49" s="6"/>
      <c r="K49" s="6"/>
      <c r="L49" s="74"/>
    </row>
    <row r="50" spans="1:12">
      <c r="A50" s="103" t="s">
        <v>151</v>
      </c>
      <c r="B50" s="103"/>
      <c r="C50" s="115"/>
      <c r="D50" s="115"/>
      <c r="E50" s="115"/>
      <c r="F50" s="115"/>
      <c r="G50" s="115"/>
      <c r="H50" s="115"/>
      <c r="I50" s="115"/>
      <c r="J50" s="115"/>
      <c r="K50" s="115"/>
      <c r="L50" s="116"/>
    </row>
    <row r="51" spans="1:12">
      <c r="A51" s="52" t="s">
        <v>152</v>
      </c>
      <c r="B51" s="3"/>
      <c r="C51" s="47">
        <f>IFERROR(C52/C39,"")</f>
        <v>3.6428571428571428</v>
      </c>
      <c r="D51" s="47">
        <f>IFERROR(D52/D39,"")</f>
        <v>3.5333333333333332</v>
      </c>
      <c r="E51" s="47">
        <f>IFERROR(E52/E39,"")</f>
        <v>8</v>
      </c>
      <c r="F51" s="47">
        <f>IFERROR(F52/F39,"")</f>
        <v>6</v>
      </c>
      <c r="G51" s="48"/>
      <c r="H51" s="48"/>
      <c r="I51" s="48"/>
      <c r="J51" s="48"/>
      <c r="K51" s="48"/>
      <c r="L51" s="74" t="s">
        <v>168</v>
      </c>
    </row>
    <row r="52" spans="1:12" ht="26">
      <c r="A52" s="52" t="s">
        <v>15</v>
      </c>
      <c r="B52" s="3"/>
      <c r="C52" s="43">
        <v>51</v>
      </c>
      <c r="D52" s="43">
        <v>53</v>
      </c>
      <c r="E52" s="43">
        <v>104</v>
      </c>
      <c r="F52" s="43">
        <v>36</v>
      </c>
      <c r="G52" s="34" t="str">
        <f>IF(OR(G39="",G51=""),"",G39*G51)</f>
        <v/>
      </c>
      <c r="H52" s="34" t="str">
        <f>IF(OR(H39="",H51=""),"",H39*H51)</f>
        <v/>
      </c>
      <c r="I52" s="34" t="str">
        <f>IF(OR(I39="",I51=""),"",I39*I51)</f>
        <v/>
      </c>
      <c r="J52" s="34" t="str">
        <f>IF(OR(J39="",J51=""),"",J39*J51)</f>
        <v/>
      </c>
      <c r="K52" s="34" t="str">
        <f>IF(OR(K39="",K51=""),"",K39*K51)</f>
        <v/>
      </c>
      <c r="L52" s="74" t="s">
        <v>169</v>
      </c>
    </row>
    <row r="53" spans="1:12">
      <c r="A53" s="52" t="s">
        <v>153</v>
      </c>
      <c r="B53" s="3"/>
      <c r="C53" s="44">
        <f t="shared" ref="C53:K53" si="10">IFERROR(C43/C52,"")</f>
        <v>119.21568627450981</v>
      </c>
      <c r="D53" s="44">
        <f t="shared" si="10"/>
        <v>31.994528301886792</v>
      </c>
      <c r="E53" s="44">
        <f t="shared" si="10"/>
        <v>172.77288461538461</v>
      </c>
      <c r="F53" s="44">
        <f t="shared" si="10"/>
        <v>284.52777777777777</v>
      </c>
      <c r="G53" s="44" t="str">
        <f t="shared" si="10"/>
        <v/>
      </c>
      <c r="H53" s="44" t="str">
        <f t="shared" si="10"/>
        <v/>
      </c>
      <c r="I53" s="44" t="str">
        <f t="shared" si="10"/>
        <v/>
      </c>
      <c r="J53" s="44" t="str">
        <f t="shared" si="10"/>
        <v/>
      </c>
      <c r="K53" s="44" t="str">
        <f t="shared" si="10"/>
        <v/>
      </c>
      <c r="L53" s="74" t="s">
        <v>170</v>
      </c>
    </row>
    <row r="54" spans="1:12">
      <c r="A54" s="52"/>
      <c r="B54" s="3"/>
      <c r="C54" s="6"/>
      <c r="D54" s="6"/>
      <c r="E54" s="6"/>
      <c r="F54" s="6"/>
      <c r="G54" s="6"/>
      <c r="H54" s="6"/>
      <c r="I54" s="6"/>
      <c r="J54" s="6"/>
      <c r="K54" s="6"/>
      <c r="L54" s="74"/>
    </row>
    <row r="55" spans="1:12">
      <c r="A55" s="52"/>
      <c r="B55" s="3"/>
      <c r="C55" s="6"/>
      <c r="D55" s="6"/>
      <c r="E55" s="6"/>
      <c r="F55" s="6"/>
      <c r="G55" s="6"/>
      <c r="H55" s="6"/>
      <c r="I55" s="6"/>
      <c r="J55" s="6"/>
      <c r="K55" s="6"/>
      <c r="L55" s="74"/>
    </row>
    <row r="56" spans="1:12">
      <c r="A56" s="103" t="s">
        <v>154</v>
      </c>
      <c r="B56" s="103"/>
      <c r="C56" s="115"/>
      <c r="D56" s="115"/>
      <c r="E56" s="115"/>
      <c r="F56" s="115"/>
      <c r="G56" s="115"/>
      <c r="H56" s="115"/>
      <c r="I56" s="115"/>
      <c r="J56" s="115"/>
      <c r="K56" s="115"/>
      <c r="L56" s="116"/>
    </row>
    <row r="57" spans="1:12">
      <c r="A57" s="113" t="s">
        <v>155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4"/>
    </row>
    <row r="58" spans="1:12">
      <c r="A58" s="113" t="s">
        <v>171</v>
      </c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4"/>
    </row>
    <row r="59" spans="1:12">
      <c r="A59" s="113" t="s">
        <v>172</v>
      </c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4"/>
    </row>
    <row r="60" spans="1:12">
      <c r="A60" s="113" t="s">
        <v>175</v>
      </c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4"/>
    </row>
    <row r="61" spans="1:12">
      <c r="A61" s="113" t="s">
        <v>176</v>
      </c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4"/>
    </row>
  </sheetData>
  <mergeCells count="15">
    <mergeCell ref="A37:L37"/>
    <mergeCell ref="A4:L4"/>
    <mergeCell ref="A6:L6"/>
    <mergeCell ref="A19:L19"/>
    <mergeCell ref="A21:L21"/>
    <mergeCell ref="A27:L27"/>
    <mergeCell ref="A59:L59"/>
    <mergeCell ref="A60:L60"/>
    <mergeCell ref="A61:L61"/>
    <mergeCell ref="A41:L41"/>
    <mergeCell ref="A45:L45"/>
    <mergeCell ref="A50:L50"/>
    <mergeCell ref="A56:L56"/>
    <mergeCell ref="A57:L57"/>
    <mergeCell ref="A58:L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F406-E532-4DE8-AD93-DA413CCCF50A}">
  <dimension ref="C4:I14"/>
  <sheetViews>
    <sheetView zoomScale="85" zoomScaleNormal="85" workbookViewId="0">
      <selection activeCell="J15" sqref="J15"/>
    </sheetView>
  </sheetViews>
  <sheetFormatPr defaultRowHeight="13"/>
  <cols>
    <col min="1" max="2" width="8.6640625" style="100"/>
    <col min="3" max="3" width="15.08203125" style="100" bestFit="1" customWidth="1"/>
    <col min="4" max="4" width="8.6640625" style="100"/>
    <col min="5" max="5" width="7.33203125" style="100" bestFit="1" customWidth="1"/>
    <col min="6" max="6" width="8.75" style="100" bestFit="1" customWidth="1"/>
    <col min="7" max="7" width="7.6640625" style="100" bestFit="1" customWidth="1"/>
    <col min="8" max="8" width="8.6640625" style="100"/>
    <col min="9" max="9" width="9.58203125" style="100" bestFit="1" customWidth="1"/>
    <col min="10" max="16384" width="8.6640625" style="100"/>
  </cols>
  <sheetData>
    <row r="4" spans="3:9">
      <c r="E4" s="100" t="s">
        <v>314</v>
      </c>
      <c r="F4" s="100" t="s">
        <v>321</v>
      </c>
      <c r="G4" s="100" t="s">
        <v>324</v>
      </c>
    </row>
    <row r="5" spans="3:9">
      <c r="C5" s="100" t="s">
        <v>316</v>
      </c>
      <c r="E5" s="100">
        <v>10</v>
      </c>
    </row>
    <row r="6" spans="3:9">
      <c r="C6" s="100" t="s">
        <v>315</v>
      </c>
      <c r="E6" s="101">
        <v>0.1</v>
      </c>
    </row>
    <row r="7" spans="3:9">
      <c r="C7" s="100" t="s">
        <v>317</v>
      </c>
      <c r="E7" s="101">
        <v>0.3</v>
      </c>
    </row>
    <row r="8" spans="3:9">
      <c r="C8" s="100" t="s">
        <v>318</v>
      </c>
      <c r="E8" s="101">
        <v>0.15</v>
      </c>
    </row>
    <row r="9" spans="3:9">
      <c r="C9" s="100" t="s">
        <v>319</v>
      </c>
      <c r="E9" s="101">
        <v>0.5</v>
      </c>
      <c r="G9" s="101">
        <v>0.8</v>
      </c>
      <c r="I9" s="100" t="s">
        <v>320</v>
      </c>
    </row>
    <row r="14" spans="3:9">
      <c r="C14" s="100" t="s">
        <v>322</v>
      </c>
      <c r="D14" s="100" t="s">
        <v>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F9F7-E2D8-4CDF-9A23-CFBBDFDBA1C0}">
  <dimension ref="A2:H16"/>
  <sheetViews>
    <sheetView zoomScale="80" zoomScaleNormal="80" workbookViewId="0">
      <selection activeCell="C19" sqref="C19"/>
    </sheetView>
  </sheetViews>
  <sheetFormatPr defaultColWidth="21.4140625" defaultRowHeight="14"/>
  <cols>
    <col min="1" max="1" width="59.9140625" bestFit="1" customWidth="1"/>
    <col min="2" max="3" width="21.4140625" customWidth="1"/>
    <col min="6" max="6" width="11.1640625" bestFit="1" customWidth="1"/>
  </cols>
  <sheetData>
    <row r="2" spans="1:8">
      <c r="A2" s="112" t="s">
        <v>61</v>
      </c>
      <c r="B2" s="112"/>
      <c r="C2" s="112"/>
      <c r="D2" s="112"/>
      <c r="E2" s="112"/>
      <c r="F2" s="112"/>
      <c r="G2" s="112"/>
      <c r="H2" s="112"/>
    </row>
    <row r="3" spans="1:8">
      <c r="A3" s="120" t="s">
        <v>62</v>
      </c>
      <c r="B3" s="120"/>
      <c r="C3" s="120"/>
      <c r="D3" s="120"/>
      <c r="E3" s="120"/>
      <c r="F3" s="120"/>
      <c r="G3" s="120"/>
      <c r="H3" s="120"/>
    </row>
    <row r="4" spans="1:8">
      <c r="A4" s="49" t="s">
        <v>63</v>
      </c>
      <c r="B4" s="121" t="s">
        <v>64</v>
      </c>
      <c r="C4" s="121"/>
      <c r="D4" s="121" t="s">
        <v>65</v>
      </c>
      <c r="E4" s="121"/>
      <c r="F4" s="49" t="s">
        <v>66</v>
      </c>
      <c r="G4" s="121" t="s">
        <v>67</v>
      </c>
      <c r="H4" s="121"/>
    </row>
    <row r="5" spans="1:8" ht="26">
      <c r="A5" s="98" t="s">
        <v>68</v>
      </c>
      <c r="B5" s="118" t="s">
        <v>69</v>
      </c>
      <c r="C5" s="118"/>
      <c r="D5" s="118" t="s">
        <v>70</v>
      </c>
      <c r="E5" s="118"/>
      <c r="F5" s="50" t="s">
        <v>71</v>
      </c>
      <c r="G5" s="119" t="s">
        <v>72</v>
      </c>
      <c r="H5" s="119"/>
    </row>
    <row r="6" spans="1:8" ht="26">
      <c r="A6" s="98" t="s">
        <v>73</v>
      </c>
      <c r="B6" s="118" t="s">
        <v>74</v>
      </c>
      <c r="C6" s="118"/>
      <c r="D6" s="118" t="s">
        <v>75</v>
      </c>
      <c r="E6" s="118"/>
      <c r="F6" s="50" t="s">
        <v>76</v>
      </c>
      <c r="G6" s="119" t="s">
        <v>77</v>
      </c>
      <c r="H6" s="119"/>
    </row>
    <row r="7" spans="1:8" ht="26">
      <c r="A7" s="98" t="s">
        <v>78</v>
      </c>
      <c r="B7" s="118" t="s">
        <v>79</v>
      </c>
      <c r="C7" s="118"/>
      <c r="D7" s="118" t="s">
        <v>80</v>
      </c>
      <c r="E7" s="118"/>
      <c r="F7" s="50" t="s">
        <v>71</v>
      </c>
      <c r="G7" s="119" t="s">
        <v>81</v>
      </c>
      <c r="H7" s="119"/>
    </row>
    <row r="8" spans="1:8" ht="26">
      <c r="A8" s="98" t="s">
        <v>82</v>
      </c>
      <c r="B8" s="118" t="s">
        <v>83</v>
      </c>
      <c r="C8" s="118"/>
      <c r="D8" s="118" t="s">
        <v>84</v>
      </c>
      <c r="E8" s="118"/>
      <c r="F8" s="50" t="s">
        <v>85</v>
      </c>
      <c r="G8" s="119" t="s">
        <v>86</v>
      </c>
      <c r="H8" s="119"/>
    </row>
    <row r="9" spans="1:8" ht="26">
      <c r="A9" s="98" t="s">
        <v>87</v>
      </c>
      <c r="B9" s="118" t="s">
        <v>88</v>
      </c>
      <c r="C9" s="118"/>
      <c r="D9" s="118" t="s">
        <v>89</v>
      </c>
      <c r="E9" s="118"/>
      <c r="F9" s="50" t="s">
        <v>90</v>
      </c>
      <c r="G9" s="119" t="s">
        <v>91</v>
      </c>
      <c r="H9" s="119"/>
    </row>
    <row r="10" spans="1:8" ht="26">
      <c r="A10" s="98" t="s">
        <v>92</v>
      </c>
      <c r="B10" s="118" t="s">
        <v>93</v>
      </c>
      <c r="C10" s="118"/>
      <c r="D10" s="118" t="s">
        <v>94</v>
      </c>
      <c r="E10" s="118"/>
      <c r="F10" s="50" t="s">
        <v>90</v>
      </c>
      <c r="G10" s="119" t="s">
        <v>95</v>
      </c>
      <c r="H10" s="119"/>
    </row>
    <row r="11" spans="1:8" ht="26">
      <c r="A11" s="98" t="s">
        <v>96</v>
      </c>
      <c r="B11" s="118" t="s">
        <v>97</v>
      </c>
      <c r="C11" s="118"/>
      <c r="D11" s="118" t="s">
        <v>98</v>
      </c>
      <c r="E11" s="118"/>
      <c r="F11" s="50" t="s">
        <v>71</v>
      </c>
      <c r="G11" s="119" t="s">
        <v>99</v>
      </c>
      <c r="H11" s="119"/>
    </row>
    <row r="12" spans="1:8" ht="26">
      <c r="A12" s="98" t="s">
        <v>100</v>
      </c>
      <c r="B12" s="118" t="s">
        <v>101</v>
      </c>
      <c r="C12" s="118"/>
      <c r="D12" s="118" t="s">
        <v>101</v>
      </c>
      <c r="E12" s="118"/>
      <c r="F12" s="50" t="s">
        <v>90</v>
      </c>
      <c r="G12" s="119" t="s">
        <v>102</v>
      </c>
      <c r="H12" s="119"/>
    </row>
    <row r="13" spans="1:8" ht="26">
      <c r="A13" s="98" t="s">
        <v>103</v>
      </c>
      <c r="B13" s="118" t="s">
        <v>104</v>
      </c>
      <c r="C13" s="118"/>
      <c r="D13" s="118" t="s">
        <v>105</v>
      </c>
      <c r="E13" s="118"/>
      <c r="F13" s="50" t="s">
        <v>90</v>
      </c>
      <c r="G13" s="119" t="s">
        <v>106</v>
      </c>
      <c r="H13" s="119"/>
    </row>
    <row r="14" spans="1:8" ht="26">
      <c r="A14" s="99" t="s">
        <v>107</v>
      </c>
      <c r="B14" s="122" t="s">
        <v>108</v>
      </c>
      <c r="C14" s="122"/>
      <c r="D14" s="122" t="s">
        <v>109</v>
      </c>
      <c r="E14" s="122"/>
      <c r="F14" s="51" t="s">
        <v>110</v>
      </c>
      <c r="G14" s="123" t="s">
        <v>111</v>
      </c>
      <c r="H14" s="123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20" t="s">
        <v>112</v>
      </c>
      <c r="B16" s="120"/>
      <c r="C16" s="120"/>
      <c r="D16" s="120"/>
      <c r="E16" s="120"/>
      <c r="F16" s="120"/>
      <c r="G16" s="120"/>
      <c r="H16" s="120"/>
    </row>
  </sheetData>
  <mergeCells count="36">
    <mergeCell ref="B12:C12"/>
    <mergeCell ref="D12:E12"/>
    <mergeCell ref="G12:H12"/>
    <mergeCell ref="A16:H16"/>
    <mergeCell ref="B13:C13"/>
    <mergeCell ref="D13:E13"/>
    <mergeCell ref="G13:H13"/>
    <mergeCell ref="B14:C14"/>
    <mergeCell ref="D14:E14"/>
    <mergeCell ref="G14:H14"/>
    <mergeCell ref="B10:C10"/>
    <mergeCell ref="D10:E10"/>
    <mergeCell ref="G10:H10"/>
    <mergeCell ref="B11:C11"/>
    <mergeCell ref="D11:E11"/>
    <mergeCell ref="G11:H11"/>
    <mergeCell ref="B8:C8"/>
    <mergeCell ref="D8:E8"/>
    <mergeCell ref="G8:H8"/>
    <mergeCell ref="B9:C9"/>
    <mergeCell ref="D9:E9"/>
    <mergeCell ref="G9:H9"/>
    <mergeCell ref="B6:C6"/>
    <mergeCell ref="D6:E6"/>
    <mergeCell ref="G6:H6"/>
    <mergeCell ref="B7:C7"/>
    <mergeCell ref="D7:E7"/>
    <mergeCell ref="G7:H7"/>
    <mergeCell ref="B5:C5"/>
    <mergeCell ref="D5:E5"/>
    <mergeCell ref="G5:H5"/>
    <mergeCell ref="A2:H2"/>
    <mergeCell ref="A3:H3"/>
    <mergeCell ref="B4:C4"/>
    <mergeCell ref="D4:E4"/>
    <mergeCell ref="G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F791-B7B7-4EFC-B134-E1E2D98B5822}">
  <dimension ref="A1:L83"/>
  <sheetViews>
    <sheetView zoomScale="80" zoomScaleNormal="80" workbookViewId="0">
      <selection activeCell="E24" sqref="E24"/>
    </sheetView>
  </sheetViews>
  <sheetFormatPr defaultRowHeight="13"/>
  <cols>
    <col min="1" max="1" width="41.4140625" style="5" customWidth="1"/>
    <col min="2" max="3" width="6.33203125" style="5" bestFit="1" customWidth="1"/>
    <col min="4" max="4" width="6.6640625" style="5" bestFit="1" customWidth="1"/>
    <col min="5" max="5" width="6.33203125" style="5" bestFit="1" customWidth="1"/>
    <col min="6" max="6" width="8.75" style="5" bestFit="1" customWidth="1"/>
    <col min="7" max="7" width="7" style="94" bestFit="1" customWidth="1"/>
    <col min="8" max="11" width="7" style="5" bestFit="1" customWidth="1"/>
    <col min="12" max="12" width="91.6640625" style="5" bestFit="1" customWidth="1"/>
    <col min="13" max="16384" width="8.6640625" style="5"/>
  </cols>
  <sheetData>
    <row r="1" spans="1:12">
      <c r="A1" s="52"/>
      <c r="B1" s="3"/>
      <c r="C1" s="25" t="s">
        <v>18</v>
      </c>
      <c r="D1" s="25" t="s">
        <v>19</v>
      </c>
      <c r="E1" s="25" t="s">
        <v>20</v>
      </c>
      <c r="F1" s="25" t="s">
        <v>39</v>
      </c>
      <c r="G1" s="83" t="s">
        <v>21</v>
      </c>
      <c r="H1" s="25" t="s">
        <v>22</v>
      </c>
      <c r="I1" s="25" t="s">
        <v>23</v>
      </c>
      <c r="J1" s="25" t="s">
        <v>24</v>
      </c>
      <c r="K1" s="25" t="s">
        <v>25</v>
      </c>
      <c r="L1" s="3"/>
    </row>
    <row r="2" spans="1:12">
      <c r="A2" s="52"/>
      <c r="B2" s="3"/>
      <c r="C2" s="4" t="s">
        <v>0</v>
      </c>
      <c r="D2" s="4" t="s">
        <v>0</v>
      </c>
      <c r="E2" s="4" t="s">
        <v>0</v>
      </c>
      <c r="F2" s="4" t="s">
        <v>156</v>
      </c>
      <c r="G2" s="8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3"/>
    </row>
    <row r="3" spans="1:12">
      <c r="A3" s="63" t="s">
        <v>40</v>
      </c>
      <c r="B3" s="72"/>
      <c r="C3" s="73">
        <v>12</v>
      </c>
      <c r="D3" s="73">
        <v>12</v>
      </c>
      <c r="E3" s="73">
        <v>12</v>
      </c>
      <c r="F3" s="73">
        <v>5</v>
      </c>
      <c r="G3" s="85">
        <v>12</v>
      </c>
      <c r="H3" s="73">
        <v>12</v>
      </c>
      <c r="I3" s="73">
        <v>12</v>
      </c>
      <c r="J3" s="73">
        <v>12</v>
      </c>
      <c r="K3" s="73">
        <v>12</v>
      </c>
      <c r="L3" s="77" t="s">
        <v>177</v>
      </c>
    </row>
    <row r="4" spans="1:12">
      <c r="A4" s="106" t="s">
        <v>178</v>
      </c>
      <c r="B4" s="106"/>
      <c r="C4" s="107"/>
      <c r="D4" s="107"/>
      <c r="E4" s="107"/>
      <c r="F4" s="107"/>
      <c r="G4" s="107"/>
      <c r="H4" s="107"/>
      <c r="I4" s="107"/>
      <c r="J4" s="107"/>
      <c r="K4" s="107"/>
      <c r="L4" s="117"/>
    </row>
    <row r="5" spans="1:12">
      <c r="A5" s="52"/>
      <c r="B5" s="3"/>
      <c r="C5" s="6"/>
      <c r="D5" s="6"/>
      <c r="E5" s="6"/>
      <c r="F5" s="6"/>
      <c r="G5" s="86"/>
      <c r="H5" s="6"/>
      <c r="I5" s="6"/>
      <c r="J5" s="6"/>
      <c r="K5" s="6"/>
      <c r="L5" s="77"/>
    </row>
    <row r="6" spans="1:12">
      <c r="A6" s="106" t="s">
        <v>2</v>
      </c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17"/>
    </row>
    <row r="7" spans="1:12">
      <c r="A7" s="52" t="s">
        <v>179</v>
      </c>
      <c r="B7" s="3"/>
      <c r="C7" s="40">
        <f t="shared" ref="C7:K7" si="0">C34</f>
        <v>0</v>
      </c>
      <c r="D7" s="40">
        <f t="shared" si="0"/>
        <v>0</v>
      </c>
      <c r="E7" s="40">
        <f t="shared" si="0"/>
        <v>0</v>
      </c>
      <c r="F7" s="40">
        <f t="shared" si="0"/>
        <v>0</v>
      </c>
      <c r="G7" s="87">
        <f t="shared" ca="1" si="0"/>
        <v>0</v>
      </c>
      <c r="H7" s="40">
        <f t="shared" ca="1" si="0"/>
        <v>0</v>
      </c>
      <c r="I7" s="40">
        <f t="shared" ca="1" si="0"/>
        <v>0</v>
      </c>
      <c r="J7" s="40">
        <f t="shared" ca="1" si="0"/>
        <v>0</v>
      </c>
      <c r="K7" s="40">
        <f t="shared" ca="1" si="0"/>
        <v>0</v>
      </c>
      <c r="L7" s="77"/>
    </row>
    <row r="8" spans="1:12">
      <c r="A8" s="52" t="s">
        <v>180</v>
      </c>
      <c r="B8" s="3"/>
      <c r="C8" s="40">
        <f t="shared" ref="C8:K8" si="1">C42</f>
        <v>1648</v>
      </c>
      <c r="D8" s="40">
        <f t="shared" si="1"/>
        <v>1648</v>
      </c>
      <c r="E8" s="40">
        <f t="shared" si="1"/>
        <v>1648</v>
      </c>
      <c r="F8" s="40">
        <f t="shared" si="1"/>
        <v>528</v>
      </c>
      <c r="G8" s="87">
        <f t="shared" si="1"/>
        <v>240</v>
      </c>
      <c r="H8" s="40">
        <f t="shared" si="1"/>
        <v>240</v>
      </c>
      <c r="I8" s="40">
        <f t="shared" si="1"/>
        <v>240</v>
      </c>
      <c r="J8" s="40">
        <f t="shared" si="1"/>
        <v>240</v>
      </c>
      <c r="K8" s="40">
        <f t="shared" si="1"/>
        <v>240</v>
      </c>
      <c r="L8" s="77"/>
    </row>
    <row r="9" spans="1:12">
      <c r="A9" s="52" t="s">
        <v>12</v>
      </c>
      <c r="B9" s="3"/>
      <c r="C9" s="40">
        <f t="shared" ref="C9:K9" si="2">C49</f>
        <v>0</v>
      </c>
      <c r="D9" s="40">
        <f t="shared" si="2"/>
        <v>0</v>
      </c>
      <c r="E9" s="40">
        <f t="shared" si="2"/>
        <v>0</v>
      </c>
      <c r="F9" s="40">
        <f t="shared" si="2"/>
        <v>0</v>
      </c>
      <c r="G9" s="87">
        <f t="shared" si="2"/>
        <v>0</v>
      </c>
      <c r="H9" s="40">
        <f t="shared" si="2"/>
        <v>0</v>
      </c>
      <c r="I9" s="40">
        <f t="shared" si="2"/>
        <v>0</v>
      </c>
      <c r="J9" s="40">
        <f t="shared" si="2"/>
        <v>0</v>
      </c>
      <c r="K9" s="40">
        <f t="shared" si="2"/>
        <v>0</v>
      </c>
      <c r="L9" s="77"/>
    </row>
    <row r="10" spans="1:12">
      <c r="A10" s="52" t="s">
        <v>8</v>
      </c>
      <c r="B10" s="3"/>
      <c r="C10" s="40">
        <f t="shared" ref="C10:K10" si="3">C57</f>
        <v>0</v>
      </c>
      <c r="D10" s="40">
        <f t="shared" si="3"/>
        <v>0</v>
      </c>
      <c r="E10" s="40">
        <f t="shared" si="3"/>
        <v>0</v>
      </c>
      <c r="F10" s="40">
        <f t="shared" si="3"/>
        <v>0</v>
      </c>
      <c r="G10" s="87">
        <f t="shared" si="3"/>
        <v>0</v>
      </c>
      <c r="H10" s="40">
        <f t="shared" si="3"/>
        <v>0</v>
      </c>
      <c r="I10" s="40">
        <f t="shared" si="3"/>
        <v>0</v>
      </c>
      <c r="J10" s="40">
        <f t="shared" si="3"/>
        <v>0</v>
      </c>
      <c r="K10" s="40">
        <f t="shared" si="3"/>
        <v>0</v>
      </c>
      <c r="L10" s="77"/>
    </row>
    <row r="11" spans="1:12">
      <c r="A11" s="52" t="s">
        <v>181</v>
      </c>
      <c r="B11" s="3"/>
      <c r="C11" s="40">
        <f t="shared" ref="C11:K11" si="4">C62</f>
        <v>0</v>
      </c>
      <c r="D11" s="40">
        <f t="shared" si="4"/>
        <v>0</v>
      </c>
      <c r="E11" s="40">
        <f t="shared" si="4"/>
        <v>0</v>
      </c>
      <c r="F11" s="40">
        <f t="shared" si="4"/>
        <v>0</v>
      </c>
      <c r="G11" s="87">
        <f t="shared" si="4"/>
        <v>0</v>
      </c>
      <c r="H11" s="40">
        <f t="shared" si="4"/>
        <v>0</v>
      </c>
      <c r="I11" s="40">
        <f t="shared" si="4"/>
        <v>0</v>
      </c>
      <c r="J11" s="40">
        <f t="shared" si="4"/>
        <v>0</v>
      </c>
      <c r="K11" s="40">
        <f t="shared" si="4"/>
        <v>0</v>
      </c>
      <c r="L11" s="77"/>
    </row>
    <row r="12" spans="1:12">
      <c r="A12" s="37" t="s">
        <v>182</v>
      </c>
      <c r="B12" s="7"/>
      <c r="C12" s="39">
        <f t="shared" ref="C12:K12" si="5">SUM(C7:C11)</f>
        <v>1648</v>
      </c>
      <c r="D12" s="39">
        <f t="shared" si="5"/>
        <v>1648</v>
      </c>
      <c r="E12" s="39">
        <f t="shared" si="5"/>
        <v>1648</v>
      </c>
      <c r="F12" s="39">
        <f t="shared" si="5"/>
        <v>528</v>
      </c>
      <c r="G12" s="88">
        <f t="shared" ca="1" si="5"/>
        <v>240</v>
      </c>
      <c r="H12" s="39">
        <f t="shared" ca="1" si="5"/>
        <v>240</v>
      </c>
      <c r="I12" s="39">
        <f t="shared" ca="1" si="5"/>
        <v>240</v>
      </c>
      <c r="J12" s="39">
        <f t="shared" ca="1" si="5"/>
        <v>240</v>
      </c>
      <c r="K12" s="39">
        <f t="shared" ca="1" si="5"/>
        <v>240</v>
      </c>
      <c r="L12" s="77"/>
    </row>
    <row r="13" spans="1:12">
      <c r="A13" s="52" t="s">
        <v>183</v>
      </c>
      <c r="B13" s="3"/>
      <c r="C13" s="35"/>
      <c r="D13" s="35">
        <f>IFERROR(D12/C12-1,"")</f>
        <v>0</v>
      </c>
      <c r="E13" s="35">
        <f>IFERROR(E12/D12-1,"")</f>
        <v>0</v>
      </c>
      <c r="F13" s="35"/>
      <c r="G13" s="89"/>
      <c r="H13" s="35">
        <f ca="1">IF(OR(H12="",G12="",G12=0),"",H12/G12-1)</f>
        <v>0</v>
      </c>
      <c r="I13" s="35">
        <f ca="1">IF(OR(I12="",H12="",H12=0),"",I12/H12-1)</f>
        <v>0</v>
      </c>
      <c r="J13" s="35">
        <f ca="1">IF(OR(J12="",I12="",I12=0),"",J12/I12-1)</f>
        <v>0</v>
      </c>
      <c r="K13" s="35">
        <f ca="1">IF(OR(K12="",J12="",J12=0),"",K12/J12-1)</f>
        <v>0</v>
      </c>
      <c r="L13" s="77"/>
    </row>
    <row r="14" spans="1:12">
      <c r="A14" s="52"/>
      <c r="B14" s="3"/>
      <c r="C14" s="6"/>
      <c r="D14" s="6"/>
      <c r="E14" s="6"/>
      <c r="F14" s="6"/>
      <c r="G14" s="86"/>
      <c r="H14" s="6"/>
      <c r="I14" s="6"/>
      <c r="J14" s="6"/>
      <c r="K14" s="6"/>
      <c r="L14" s="77"/>
    </row>
    <row r="15" spans="1:12">
      <c r="A15" s="52"/>
      <c r="B15" s="3"/>
      <c r="C15" s="6"/>
      <c r="D15" s="6"/>
      <c r="E15" s="6"/>
      <c r="F15" s="6"/>
      <c r="G15" s="86"/>
      <c r="H15" s="6"/>
      <c r="I15" s="6"/>
      <c r="J15" s="6"/>
      <c r="K15" s="6"/>
      <c r="L15" s="77"/>
    </row>
    <row r="16" spans="1:12">
      <c r="A16" s="106" t="s">
        <v>184</v>
      </c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17"/>
    </row>
    <row r="17" spans="1:12">
      <c r="A17" s="52"/>
      <c r="B17" s="3"/>
      <c r="C17" s="6"/>
      <c r="D17" s="6"/>
      <c r="E17" s="6"/>
      <c r="F17" s="6"/>
      <c r="G17" s="86"/>
      <c r="H17" s="6"/>
      <c r="I17" s="6"/>
      <c r="J17" s="6"/>
      <c r="K17" s="6"/>
      <c r="L17" s="78" t="s">
        <v>185</v>
      </c>
    </row>
    <row r="18" spans="1:12">
      <c r="A18" s="103" t="s">
        <v>186</v>
      </c>
      <c r="B18" s="103"/>
      <c r="C18" s="115"/>
      <c r="D18" s="115"/>
      <c r="E18" s="115"/>
      <c r="F18" s="115"/>
      <c r="G18" s="115"/>
      <c r="H18" s="115"/>
      <c r="I18" s="115"/>
      <c r="J18" s="115"/>
      <c r="K18" s="115"/>
      <c r="L18" s="116"/>
    </row>
    <row r="19" spans="1:12">
      <c r="A19" s="52" t="s">
        <v>187</v>
      </c>
      <c r="B19" s="3"/>
      <c r="C19" s="60"/>
      <c r="D19" s="60"/>
      <c r="E19" s="60"/>
      <c r="F19" s="60"/>
      <c r="G19" s="90">
        <f ca="1">IFERROR(INDIRECT("'Assumptions'!C28"),0)</f>
        <v>0</v>
      </c>
      <c r="H19" s="70">
        <f ca="1">IFERROR(INDIRECT("'Assumptions'!D28"),0)</f>
        <v>0</v>
      </c>
      <c r="I19" s="70">
        <f ca="1">IFERROR(INDIRECT("'Assumptions'!E28"),0)</f>
        <v>0</v>
      </c>
      <c r="J19" s="70">
        <f ca="1">IFERROR(INDIRECT("'Assumptions'!F28"),0)</f>
        <v>0</v>
      </c>
      <c r="K19" s="70">
        <f ca="1">IFERROR(INDIRECT("'Assumptions'!G28"),0)</f>
        <v>0</v>
      </c>
      <c r="L19" s="77" t="s">
        <v>277</v>
      </c>
    </row>
    <row r="20" spans="1:12">
      <c r="A20" s="52" t="s">
        <v>188</v>
      </c>
      <c r="B20" s="3"/>
      <c r="C20" s="61"/>
      <c r="D20" s="61"/>
      <c r="E20" s="61"/>
      <c r="F20" s="61"/>
      <c r="G20" s="91">
        <f ca="1">IFERROR(INDIRECT("'Assumptions'!C35")/INDIRECT("'Assumptions'!C28"),0)</f>
        <v>0</v>
      </c>
      <c r="H20" s="71">
        <f ca="1">IFERROR(INDIRECT("'Assumptions'!D35")/INDIRECT("'Assumptions'!D28"),0)</f>
        <v>0</v>
      </c>
      <c r="I20" s="71">
        <f ca="1">IFERROR(INDIRECT("'Assumptions'!E35")/INDIRECT("'Assumptions'!E28"),0)</f>
        <v>0</v>
      </c>
      <c r="J20" s="71">
        <f ca="1">IFERROR(INDIRECT("'Assumptions'!F35")/INDIRECT("'Assumptions'!F28"),0)</f>
        <v>0</v>
      </c>
      <c r="K20" s="71">
        <f ca="1">IFERROR(INDIRECT("'Assumptions'!G35")/INDIRECT("'Assumptions'!G28"),0)</f>
        <v>0</v>
      </c>
      <c r="L20" s="77" t="s">
        <v>278</v>
      </c>
    </row>
    <row r="21" spans="1:12">
      <c r="A21" s="52" t="s">
        <v>189</v>
      </c>
      <c r="B21" s="3"/>
      <c r="C21" s="40" t="str">
        <f t="shared" ref="C21:K21" si="6">IF(OR(C19="",C20=""),"",C19*C20)</f>
        <v/>
      </c>
      <c r="D21" s="40" t="str">
        <f t="shared" si="6"/>
        <v/>
      </c>
      <c r="E21" s="40" t="str">
        <f t="shared" si="6"/>
        <v/>
      </c>
      <c r="F21" s="40" t="str">
        <f t="shared" si="6"/>
        <v/>
      </c>
      <c r="G21" s="87">
        <f t="shared" ca="1" si="6"/>
        <v>0</v>
      </c>
      <c r="H21" s="40">
        <f t="shared" ca="1" si="6"/>
        <v>0</v>
      </c>
      <c r="I21" s="40">
        <f t="shared" ca="1" si="6"/>
        <v>0</v>
      </c>
      <c r="J21" s="40">
        <f t="shared" ca="1" si="6"/>
        <v>0</v>
      </c>
      <c r="K21" s="40">
        <f t="shared" ca="1" si="6"/>
        <v>0</v>
      </c>
      <c r="L21" s="77" t="s">
        <v>190</v>
      </c>
    </row>
    <row r="22" spans="1:12">
      <c r="A22" s="52" t="s">
        <v>191</v>
      </c>
      <c r="B22" s="3"/>
      <c r="C22" s="60"/>
      <c r="D22" s="60"/>
      <c r="E22" s="60"/>
      <c r="F22" s="60"/>
      <c r="G22" s="90">
        <f ca="1">IFERROR(INDIRECT("'Assumptions'!C29"),0)</f>
        <v>0</v>
      </c>
      <c r="H22" s="70">
        <f ca="1">IFERROR(INDIRECT("'Assumptions'!D29"),0)</f>
        <v>0</v>
      </c>
      <c r="I22" s="70">
        <f ca="1">IFERROR(INDIRECT("'Assumptions'!E29"),0)</f>
        <v>0</v>
      </c>
      <c r="J22" s="70">
        <f ca="1">IFERROR(INDIRECT("'Assumptions'!F29"),0)</f>
        <v>0</v>
      </c>
      <c r="K22" s="70">
        <f ca="1">IFERROR(INDIRECT("'Assumptions'!G29"),0)</f>
        <v>0</v>
      </c>
      <c r="L22" s="77" t="s">
        <v>279</v>
      </c>
    </row>
    <row r="23" spans="1:12">
      <c r="A23" s="52" t="s">
        <v>192</v>
      </c>
      <c r="B23" s="3"/>
      <c r="C23" s="61"/>
      <c r="D23" s="61"/>
      <c r="E23" s="61"/>
      <c r="F23" s="61"/>
      <c r="G23" s="91">
        <f ca="1">IFERROR(INDIRECT("'Assumptions'!C36")/INDIRECT("'Assumptions'!C29"),0)</f>
        <v>0</v>
      </c>
      <c r="H23" s="71">
        <f ca="1">IFERROR(INDIRECT("'Assumptions'!D36")/INDIRECT("'Assumptions'!D29"),0)</f>
        <v>0</v>
      </c>
      <c r="I23" s="71">
        <f ca="1">IFERROR(INDIRECT("'Assumptions'!E36")/INDIRECT("'Assumptions'!E29"),0)</f>
        <v>0</v>
      </c>
      <c r="J23" s="71">
        <f ca="1">IFERROR(INDIRECT("'Assumptions'!F36")/INDIRECT("'Assumptions'!F29"),0)</f>
        <v>0</v>
      </c>
      <c r="K23" s="71">
        <f ca="1">IFERROR(INDIRECT("'Assumptions'!G36")/INDIRECT("'Assumptions'!G29"),0)</f>
        <v>0</v>
      </c>
      <c r="L23" s="77" t="s">
        <v>280</v>
      </c>
    </row>
    <row r="24" spans="1:12">
      <c r="A24" s="52" t="s">
        <v>193</v>
      </c>
      <c r="B24" s="3"/>
      <c r="C24" s="40" t="str">
        <f t="shared" ref="C24:K24" si="7">IF(OR(C22="",C23=""),"",C22*C23)</f>
        <v/>
      </c>
      <c r="D24" s="40" t="str">
        <f t="shared" si="7"/>
        <v/>
      </c>
      <c r="E24" s="40" t="str">
        <f t="shared" si="7"/>
        <v/>
      </c>
      <c r="F24" s="40" t="str">
        <f t="shared" si="7"/>
        <v/>
      </c>
      <c r="G24" s="87">
        <f t="shared" ca="1" si="7"/>
        <v>0</v>
      </c>
      <c r="H24" s="40">
        <f t="shared" ca="1" si="7"/>
        <v>0</v>
      </c>
      <c r="I24" s="40">
        <f t="shared" ca="1" si="7"/>
        <v>0</v>
      </c>
      <c r="J24" s="40">
        <f t="shared" ca="1" si="7"/>
        <v>0</v>
      </c>
      <c r="K24" s="40">
        <f t="shared" ca="1" si="7"/>
        <v>0</v>
      </c>
      <c r="L24" s="77" t="s">
        <v>190</v>
      </c>
    </row>
    <row r="25" spans="1:12">
      <c r="A25" s="52" t="s">
        <v>194</v>
      </c>
      <c r="B25" s="3"/>
      <c r="C25" s="60"/>
      <c r="D25" s="60"/>
      <c r="E25" s="60"/>
      <c r="F25" s="60"/>
      <c r="G25" s="90">
        <f ca="1">IFERROR(INDIRECT("'Assumptions'!C31"),0)</f>
        <v>0</v>
      </c>
      <c r="H25" s="70">
        <f ca="1">IFERROR(INDIRECT("'Assumptions'!D31"),0)</f>
        <v>0</v>
      </c>
      <c r="I25" s="70">
        <f ca="1">IFERROR(INDIRECT("'Assumptions'!E31"),0)</f>
        <v>0</v>
      </c>
      <c r="J25" s="70">
        <f ca="1">IFERROR(INDIRECT("'Assumptions'!F31"),0)</f>
        <v>0</v>
      </c>
      <c r="K25" s="70">
        <f ca="1">IFERROR(INDIRECT("'Assumptions'!G31"),0)</f>
        <v>0</v>
      </c>
      <c r="L25" s="77" t="s">
        <v>281</v>
      </c>
    </row>
    <row r="26" spans="1:12">
      <c r="A26" s="52" t="s">
        <v>195</v>
      </c>
      <c r="B26" s="3"/>
      <c r="C26" s="61"/>
      <c r="D26" s="61"/>
      <c r="E26" s="61"/>
      <c r="F26" s="61"/>
      <c r="G26" s="91">
        <f ca="1">IFERROR(INDIRECT("'Assumptions'!C38")/INDIRECT("'Assumptions'!C31"),0)</f>
        <v>0</v>
      </c>
      <c r="H26" s="71">
        <f ca="1">IFERROR(INDIRECT("'Assumptions'!D38")/INDIRECT("'Assumptions'!D31"),0)</f>
        <v>0</v>
      </c>
      <c r="I26" s="71">
        <f ca="1">IFERROR(INDIRECT("'Assumptions'!E38")/INDIRECT("'Assumptions'!E31"),0)</f>
        <v>0</v>
      </c>
      <c r="J26" s="71">
        <f ca="1">IFERROR(INDIRECT("'Assumptions'!F38")/INDIRECT("'Assumptions'!F31"),0)</f>
        <v>0</v>
      </c>
      <c r="K26" s="71">
        <f ca="1">IFERROR(INDIRECT("'Assumptions'!G38")/INDIRECT("'Assumptions'!G31"),0)</f>
        <v>0</v>
      </c>
      <c r="L26" s="77" t="s">
        <v>282</v>
      </c>
    </row>
    <row r="27" spans="1:12">
      <c r="A27" s="52" t="s">
        <v>196</v>
      </c>
      <c r="B27" s="3"/>
      <c r="C27" s="40" t="str">
        <f t="shared" ref="C27:K27" si="8">IF(OR(C25="",C26=""),"",C25*C26)</f>
        <v/>
      </c>
      <c r="D27" s="40" t="str">
        <f t="shared" si="8"/>
        <v/>
      </c>
      <c r="E27" s="40" t="str">
        <f t="shared" si="8"/>
        <v/>
      </c>
      <c r="F27" s="40" t="str">
        <f t="shared" si="8"/>
        <v/>
      </c>
      <c r="G27" s="87">
        <f t="shared" ca="1" si="8"/>
        <v>0</v>
      </c>
      <c r="H27" s="40">
        <f t="shared" ca="1" si="8"/>
        <v>0</v>
      </c>
      <c r="I27" s="40">
        <f t="shared" ca="1" si="8"/>
        <v>0</v>
      </c>
      <c r="J27" s="40">
        <f t="shared" ca="1" si="8"/>
        <v>0</v>
      </c>
      <c r="K27" s="40">
        <f t="shared" ca="1" si="8"/>
        <v>0</v>
      </c>
      <c r="L27" s="77" t="s">
        <v>190</v>
      </c>
    </row>
    <row r="28" spans="1:12">
      <c r="A28" s="52" t="s">
        <v>197</v>
      </c>
      <c r="B28" s="3"/>
      <c r="C28" s="60"/>
      <c r="D28" s="60"/>
      <c r="E28" s="60"/>
      <c r="F28" s="60"/>
      <c r="G28" s="90">
        <f ca="1">IFERROR(INDIRECT("'Assumptions'!C30"),0)</f>
        <v>0</v>
      </c>
      <c r="H28" s="70">
        <f ca="1">IFERROR(INDIRECT("'Assumptions'!D30"),0)</f>
        <v>0</v>
      </c>
      <c r="I28" s="70">
        <f ca="1">IFERROR(INDIRECT("'Assumptions'!E30"),0)</f>
        <v>0</v>
      </c>
      <c r="J28" s="70">
        <f ca="1">IFERROR(INDIRECT("'Assumptions'!F30"),0)</f>
        <v>0</v>
      </c>
      <c r="K28" s="70">
        <f ca="1">IFERROR(INDIRECT("'Assumptions'!G30"),0)</f>
        <v>0</v>
      </c>
      <c r="L28" s="77" t="s">
        <v>283</v>
      </c>
    </row>
    <row r="29" spans="1:12">
      <c r="A29" s="52" t="s">
        <v>198</v>
      </c>
      <c r="B29" s="3"/>
      <c r="C29" s="61"/>
      <c r="D29" s="61"/>
      <c r="E29" s="61"/>
      <c r="F29" s="61"/>
      <c r="G29" s="91">
        <f ca="1">IFERROR(INDIRECT("'Assumptions'!C37")/INDIRECT("'Assumptions'!C30"),0)</f>
        <v>0</v>
      </c>
      <c r="H29" s="71">
        <f ca="1">IFERROR(INDIRECT("'Assumptions'!D37")/INDIRECT("'Assumptions'!D30"),0)</f>
        <v>0</v>
      </c>
      <c r="I29" s="71">
        <f ca="1">IFERROR(INDIRECT("'Assumptions'!E37")/INDIRECT("'Assumptions'!E30"),0)</f>
        <v>0</v>
      </c>
      <c r="J29" s="71">
        <f ca="1">IFERROR(INDIRECT("'Assumptions'!F37")/INDIRECT("'Assumptions'!F30"),0)</f>
        <v>0</v>
      </c>
      <c r="K29" s="71">
        <f ca="1">IFERROR(INDIRECT("'Assumptions'!G37")/INDIRECT("'Assumptions'!G30"),0)</f>
        <v>0</v>
      </c>
      <c r="L29" s="77" t="s">
        <v>284</v>
      </c>
    </row>
    <row r="30" spans="1:12">
      <c r="A30" s="52" t="s">
        <v>199</v>
      </c>
      <c r="B30" s="3"/>
      <c r="C30" s="40" t="str">
        <f t="shared" ref="C30:K30" si="9">IF(OR(C28="",C29=""),"",C28*C29)</f>
        <v/>
      </c>
      <c r="D30" s="40" t="str">
        <f t="shared" si="9"/>
        <v/>
      </c>
      <c r="E30" s="40" t="str">
        <f t="shared" si="9"/>
        <v/>
      </c>
      <c r="F30" s="40" t="str">
        <f t="shared" si="9"/>
        <v/>
      </c>
      <c r="G30" s="87">
        <f t="shared" ca="1" si="9"/>
        <v>0</v>
      </c>
      <c r="H30" s="40">
        <f t="shared" ca="1" si="9"/>
        <v>0</v>
      </c>
      <c r="I30" s="40">
        <f t="shared" ca="1" si="9"/>
        <v>0</v>
      </c>
      <c r="J30" s="40">
        <f t="shared" ca="1" si="9"/>
        <v>0</v>
      </c>
      <c r="K30" s="40">
        <f t="shared" ca="1" si="9"/>
        <v>0</v>
      </c>
      <c r="L30" s="77" t="s">
        <v>190</v>
      </c>
    </row>
    <row r="31" spans="1:12">
      <c r="A31" s="37" t="s">
        <v>200</v>
      </c>
      <c r="B31" s="7"/>
      <c r="C31" s="39">
        <f t="shared" ref="C31:K31" si="10">SUM(C21,C24,C27,C30)</f>
        <v>0</v>
      </c>
      <c r="D31" s="39">
        <f t="shared" si="10"/>
        <v>0</v>
      </c>
      <c r="E31" s="39">
        <f t="shared" si="10"/>
        <v>0</v>
      </c>
      <c r="F31" s="39">
        <f t="shared" si="10"/>
        <v>0</v>
      </c>
      <c r="G31" s="88">
        <f t="shared" ca="1" si="10"/>
        <v>0</v>
      </c>
      <c r="H31" s="39">
        <f t="shared" ca="1" si="10"/>
        <v>0</v>
      </c>
      <c r="I31" s="39">
        <f t="shared" ca="1" si="10"/>
        <v>0</v>
      </c>
      <c r="J31" s="39">
        <f t="shared" ca="1" si="10"/>
        <v>0</v>
      </c>
      <c r="K31" s="39">
        <f t="shared" ca="1" si="10"/>
        <v>0</v>
      </c>
      <c r="L31" s="77" t="s">
        <v>201</v>
      </c>
    </row>
    <row r="32" spans="1:12">
      <c r="A32" s="52" t="s">
        <v>202</v>
      </c>
      <c r="B32" s="3"/>
      <c r="C32" s="62"/>
      <c r="D32" s="62"/>
      <c r="E32" s="62"/>
      <c r="F32" s="62"/>
      <c r="G32" s="92"/>
      <c r="H32" s="36"/>
      <c r="I32" s="36"/>
      <c r="J32" s="36"/>
      <c r="K32" s="36"/>
      <c r="L32" s="77" t="s">
        <v>203</v>
      </c>
    </row>
    <row r="33" spans="1:12">
      <c r="A33" s="52" t="s">
        <v>204</v>
      </c>
      <c r="B33" s="3"/>
      <c r="C33" s="40" t="str">
        <f t="shared" ref="C33:K33" si="11">IF(OR(C31="",C32=""),"",C31*C32)</f>
        <v/>
      </c>
      <c r="D33" s="40" t="str">
        <f t="shared" si="11"/>
        <v/>
      </c>
      <c r="E33" s="40" t="str">
        <f t="shared" si="11"/>
        <v/>
      </c>
      <c r="F33" s="40" t="str">
        <f t="shared" si="11"/>
        <v/>
      </c>
      <c r="G33" s="87" t="str">
        <f t="shared" ca="1" si="11"/>
        <v/>
      </c>
      <c r="H33" s="40" t="str">
        <f t="shared" ca="1" si="11"/>
        <v/>
      </c>
      <c r="I33" s="40" t="str">
        <f t="shared" ca="1" si="11"/>
        <v/>
      </c>
      <c r="J33" s="40" t="str">
        <f t="shared" ca="1" si="11"/>
        <v/>
      </c>
      <c r="K33" s="40" t="str">
        <f t="shared" ca="1" si="11"/>
        <v/>
      </c>
      <c r="L33" s="77" t="s">
        <v>205</v>
      </c>
    </row>
    <row r="34" spans="1:12">
      <c r="A34" s="37" t="s">
        <v>206</v>
      </c>
      <c r="B34" s="7"/>
      <c r="C34" s="39">
        <f t="shared" ref="C34:K34" si="12">SUM(C31,C33)</f>
        <v>0</v>
      </c>
      <c r="D34" s="39">
        <f t="shared" si="12"/>
        <v>0</v>
      </c>
      <c r="E34" s="39">
        <f t="shared" si="12"/>
        <v>0</v>
      </c>
      <c r="F34" s="39">
        <f t="shared" si="12"/>
        <v>0</v>
      </c>
      <c r="G34" s="88">
        <f t="shared" ca="1" si="12"/>
        <v>0</v>
      </c>
      <c r="H34" s="39">
        <f t="shared" ca="1" si="12"/>
        <v>0</v>
      </c>
      <c r="I34" s="39">
        <f t="shared" ca="1" si="12"/>
        <v>0</v>
      </c>
      <c r="J34" s="39">
        <f t="shared" ca="1" si="12"/>
        <v>0</v>
      </c>
      <c r="K34" s="39">
        <f t="shared" ca="1" si="12"/>
        <v>0</v>
      </c>
      <c r="L34" s="77" t="s">
        <v>207</v>
      </c>
    </row>
    <row r="35" spans="1:12">
      <c r="A35" s="52"/>
      <c r="B35" s="3"/>
      <c r="C35" s="6"/>
      <c r="D35" s="6"/>
      <c r="E35" s="6"/>
      <c r="F35" s="6"/>
      <c r="G35" s="86"/>
      <c r="H35" s="6"/>
      <c r="I35" s="6"/>
      <c r="J35" s="6"/>
      <c r="K35" s="6"/>
      <c r="L35" s="77"/>
    </row>
    <row r="36" spans="1:12">
      <c r="A36" s="103" t="s">
        <v>180</v>
      </c>
      <c r="B36" s="103"/>
      <c r="C36" s="115"/>
      <c r="D36" s="115"/>
      <c r="E36" s="115"/>
      <c r="F36" s="115"/>
      <c r="G36" s="115"/>
      <c r="H36" s="115"/>
      <c r="I36" s="115"/>
      <c r="J36" s="115"/>
      <c r="K36" s="115"/>
      <c r="L36" s="116"/>
    </row>
    <row r="37" spans="1:12">
      <c r="A37" s="52" t="s">
        <v>208</v>
      </c>
      <c r="B37" s="3"/>
      <c r="C37" s="61"/>
      <c r="D37" s="61"/>
      <c r="E37" s="61"/>
      <c r="F37" s="61"/>
      <c r="G37" s="93"/>
      <c r="H37" s="38"/>
      <c r="I37" s="38"/>
      <c r="J37" s="38"/>
      <c r="K37" s="38"/>
      <c r="L37" s="77" t="s">
        <v>209</v>
      </c>
    </row>
    <row r="38" spans="1:12">
      <c r="A38" s="52" t="s">
        <v>210</v>
      </c>
      <c r="B38" s="3"/>
      <c r="C38" s="40">
        <f t="shared" ref="C38:K38" si="13">SUM(C66,C67,C69)</f>
        <v>1308</v>
      </c>
      <c r="D38" s="40">
        <f t="shared" si="13"/>
        <v>1308</v>
      </c>
      <c r="E38" s="40">
        <f t="shared" si="13"/>
        <v>1308</v>
      </c>
      <c r="F38" s="40">
        <f t="shared" si="13"/>
        <v>528</v>
      </c>
      <c r="G38" s="87">
        <f t="shared" si="13"/>
        <v>240</v>
      </c>
      <c r="H38" s="40">
        <f t="shared" si="13"/>
        <v>240</v>
      </c>
      <c r="I38" s="40">
        <f t="shared" si="13"/>
        <v>240</v>
      </c>
      <c r="J38" s="40">
        <f t="shared" si="13"/>
        <v>240</v>
      </c>
      <c r="K38" s="40">
        <f t="shared" si="13"/>
        <v>240</v>
      </c>
      <c r="L38" s="77" t="s">
        <v>211</v>
      </c>
    </row>
    <row r="39" spans="1:12">
      <c r="A39" s="52" t="s">
        <v>212</v>
      </c>
      <c r="B39" s="3"/>
      <c r="C39" s="40">
        <f t="shared" ref="C39:K40" si="14">C71</f>
        <v>240</v>
      </c>
      <c r="D39" s="40">
        <f t="shared" si="14"/>
        <v>240</v>
      </c>
      <c r="E39" s="40">
        <f t="shared" si="14"/>
        <v>240</v>
      </c>
      <c r="F39" s="40">
        <f t="shared" si="14"/>
        <v>0</v>
      </c>
      <c r="G39" s="87">
        <f t="shared" si="14"/>
        <v>0</v>
      </c>
      <c r="H39" s="40">
        <f t="shared" si="14"/>
        <v>0</v>
      </c>
      <c r="I39" s="40">
        <f t="shared" si="14"/>
        <v>0</v>
      </c>
      <c r="J39" s="40">
        <f t="shared" si="14"/>
        <v>0</v>
      </c>
      <c r="K39" s="40">
        <f t="shared" si="14"/>
        <v>0</v>
      </c>
      <c r="L39" s="77" t="s">
        <v>213</v>
      </c>
    </row>
    <row r="40" spans="1:12">
      <c r="A40" s="52" t="s">
        <v>214</v>
      </c>
      <c r="B40" s="3"/>
      <c r="C40" s="40">
        <f t="shared" si="14"/>
        <v>100</v>
      </c>
      <c r="D40" s="40">
        <f t="shared" si="14"/>
        <v>100</v>
      </c>
      <c r="E40" s="40">
        <f t="shared" si="14"/>
        <v>100</v>
      </c>
      <c r="F40" s="40">
        <f t="shared" si="14"/>
        <v>0</v>
      </c>
      <c r="G40" s="87">
        <f t="shared" si="14"/>
        <v>0</v>
      </c>
      <c r="H40" s="40">
        <f t="shared" si="14"/>
        <v>0</v>
      </c>
      <c r="I40" s="40">
        <f t="shared" si="14"/>
        <v>0</v>
      </c>
      <c r="J40" s="40">
        <f t="shared" si="14"/>
        <v>0</v>
      </c>
      <c r="K40" s="40">
        <f t="shared" si="14"/>
        <v>0</v>
      </c>
      <c r="L40" s="77" t="s">
        <v>215</v>
      </c>
    </row>
    <row r="41" spans="1:12">
      <c r="A41" s="52" t="s">
        <v>216</v>
      </c>
      <c r="B41" s="3"/>
      <c r="C41" s="61"/>
      <c r="D41" s="61"/>
      <c r="E41" s="61"/>
      <c r="F41" s="61"/>
      <c r="G41" s="93"/>
      <c r="H41" s="38"/>
      <c r="I41" s="38"/>
      <c r="J41" s="38"/>
      <c r="K41" s="38"/>
      <c r="L41" s="77" t="s">
        <v>217</v>
      </c>
    </row>
    <row r="42" spans="1:12">
      <c r="A42" s="37" t="s">
        <v>218</v>
      </c>
      <c r="B42" s="7"/>
      <c r="C42" s="39">
        <f t="shared" ref="C42:K42" si="15">SUM(C37:C41)</f>
        <v>1648</v>
      </c>
      <c r="D42" s="39">
        <f t="shared" si="15"/>
        <v>1648</v>
      </c>
      <c r="E42" s="39">
        <f t="shared" si="15"/>
        <v>1648</v>
      </c>
      <c r="F42" s="39">
        <f t="shared" si="15"/>
        <v>528</v>
      </c>
      <c r="G42" s="88">
        <f t="shared" si="15"/>
        <v>240</v>
      </c>
      <c r="H42" s="39">
        <f t="shared" si="15"/>
        <v>240</v>
      </c>
      <c r="I42" s="39">
        <f t="shared" si="15"/>
        <v>240</v>
      </c>
      <c r="J42" s="39">
        <f t="shared" si="15"/>
        <v>240</v>
      </c>
      <c r="K42" s="39">
        <f t="shared" si="15"/>
        <v>240</v>
      </c>
      <c r="L42" s="77" t="s">
        <v>219</v>
      </c>
    </row>
    <row r="43" spans="1:12">
      <c r="A43" s="52"/>
      <c r="B43" s="3"/>
      <c r="C43" s="6"/>
      <c r="D43" s="6"/>
      <c r="E43" s="6"/>
      <c r="F43" s="6"/>
      <c r="G43" s="86"/>
      <c r="H43" s="6"/>
      <c r="I43" s="6"/>
      <c r="J43" s="6"/>
      <c r="K43" s="6"/>
      <c r="L43" s="77"/>
    </row>
    <row r="44" spans="1:12">
      <c r="A44" s="103" t="s">
        <v>12</v>
      </c>
      <c r="B44" s="103"/>
      <c r="C44" s="115"/>
      <c r="D44" s="115"/>
      <c r="E44" s="115"/>
      <c r="F44" s="115"/>
      <c r="G44" s="115"/>
      <c r="H44" s="115"/>
      <c r="I44" s="115"/>
      <c r="J44" s="115"/>
      <c r="K44" s="115"/>
      <c r="L44" s="116"/>
    </row>
    <row r="45" spans="1:12">
      <c r="A45" s="52" t="s">
        <v>220</v>
      </c>
      <c r="B45" s="3"/>
      <c r="C45" s="61"/>
      <c r="D45" s="61"/>
      <c r="E45" s="61"/>
      <c r="F45" s="61"/>
      <c r="G45" s="93"/>
      <c r="H45" s="38"/>
      <c r="I45" s="38"/>
      <c r="J45" s="38"/>
      <c r="K45" s="38"/>
      <c r="L45" s="77" t="s">
        <v>221</v>
      </c>
    </row>
    <row r="46" spans="1:12">
      <c r="A46" s="52" t="s">
        <v>222</v>
      </c>
      <c r="B46" s="3"/>
      <c r="C46" s="61"/>
      <c r="D46" s="61"/>
      <c r="E46" s="61"/>
      <c r="F46" s="61"/>
      <c r="G46" s="93"/>
      <c r="H46" s="38"/>
      <c r="I46" s="38"/>
      <c r="J46" s="38"/>
      <c r="K46" s="38"/>
      <c r="L46" s="77" t="s">
        <v>223</v>
      </c>
    </row>
    <row r="47" spans="1:12">
      <c r="A47" s="52" t="s">
        <v>224</v>
      </c>
      <c r="B47" s="3"/>
      <c r="C47" s="61"/>
      <c r="D47" s="61"/>
      <c r="E47" s="61"/>
      <c r="F47" s="61"/>
      <c r="G47" s="93"/>
      <c r="H47" s="38"/>
      <c r="I47" s="38"/>
      <c r="J47" s="38"/>
      <c r="K47" s="38"/>
      <c r="L47" s="77" t="s">
        <v>225</v>
      </c>
    </row>
    <row r="48" spans="1:12">
      <c r="A48" s="52" t="s">
        <v>226</v>
      </c>
      <c r="B48" s="3"/>
      <c r="C48" s="61"/>
      <c r="D48" s="61"/>
      <c r="E48" s="61"/>
      <c r="F48" s="61"/>
      <c r="G48" s="93"/>
      <c r="H48" s="38"/>
      <c r="I48" s="38"/>
      <c r="J48" s="38"/>
      <c r="K48" s="38"/>
      <c r="L48" s="77" t="s">
        <v>227</v>
      </c>
    </row>
    <row r="49" spans="1:12">
      <c r="A49" s="37" t="s">
        <v>13</v>
      </c>
      <c r="B49" s="7"/>
      <c r="C49" s="39">
        <f t="shared" ref="C49:K49" si="16">SUM(C45:C48)</f>
        <v>0</v>
      </c>
      <c r="D49" s="39">
        <f t="shared" si="16"/>
        <v>0</v>
      </c>
      <c r="E49" s="39">
        <f t="shared" si="16"/>
        <v>0</v>
      </c>
      <c r="F49" s="39">
        <f t="shared" si="16"/>
        <v>0</v>
      </c>
      <c r="G49" s="88">
        <f t="shared" si="16"/>
        <v>0</v>
      </c>
      <c r="H49" s="39">
        <f t="shared" si="16"/>
        <v>0</v>
      </c>
      <c r="I49" s="39">
        <f t="shared" si="16"/>
        <v>0</v>
      </c>
      <c r="J49" s="39">
        <f t="shared" si="16"/>
        <v>0</v>
      </c>
      <c r="K49" s="39">
        <f t="shared" si="16"/>
        <v>0</v>
      </c>
      <c r="L49" s="77" t="s">
        <v>228</v>
      </c>
    </row>
    <row r="50" spans="1:12">
      <c r="A50" s="52"/>
      <c r="B50" s="3"/>
      <c r="C50" s="6"/>
      <c r="D50" s="6"/>
      <c r="E50" s="6"/>
      <c r="F50" s="6"/>
      <c r="G50" s="86"/>
      <c r="H50" s="6"/>
      <c r="I50" s="6"/>
      <c r="J50" s="6"/>
      <c r="K50" s="6"/>
      <c r="L50" s="77"/>
    </row>
    <row r="51" spans="1:12">
      <c r="A51" s="103" t="s">
        <v>8</v>
      </c>
      <c r="B51" s="103"/>
      <c r="C51" s="115"/>
      <c r="D51" s="115"/>
      <c r="E51" s="115"/>
      <c r="F51" s="115"/>
      <c r="G51" s="115"/>
      <c r="H51" s="115"/>
      <c r="I51" s="115"/>
      <c r="J51" s="115"/>
      <c r="K51" s="115"/>
      <c r="L51" s="116"/>
    </row>
    <row r="52" spans="1:12">
      <c r="A52" s="52" t="s">
        <v>229</v>
      </c>
      <c r="B52" s="3"/>
      <c r="C52" s="61"/>
      <c r="D52" s="61"/>
      <c r="E52" s="61"/>
      <c r="F52" s="61"/>
      <c r="G52" s="93"/>
      <c r="H52" s="38"/>
      <c r="I52" s="38"/>
      <c r="J52" s="38"/>
      <c r="K52" s="38"/>
      <c r="L52" s="77" t="s">
        <v>230</v>
      </c>
    </row>
    <row r="53" spans="1:12">
      <c r="A53" s="52" t="s">
        <v>231</v>
      </c>
      <c r="B53" s="3"/>
      <c r="C53" s="61"/>
      <c r="D53" s="61"/>
      <c r="E53" s="61"/>
      <c r="F53" s="61"/>
      <c r="G53" s="93"/>
      <c r="H53" s="38"/>
      <c r="I53" s="38"/>
      <c r="J53" s="38"/>
      <c r="K53" s="38"/>
      <c r="L53" s="77" t="s">
        <v>232</v>
      </c>
    </row>
    <row r="54" spans="1:12">
      <c r="A54" s="52" t="s">
        <v>233</v>
      </c>
      <c r="B54" s="3"/>
      <c r="C54" s="61"/>
      <c r="D54" s="61"/>
      <c r="E54" s="61"/>
      <c r="F54" s="61"/>
      <c r="G54" s="93"/>
      <c r="H54" s="38"/>
      <c r="I54" s="38"/>
      <c r="J54" s="38"/>
      <c r="K54" s="38"/>
      <c r="L54" s="77" t="s">
        <v>234</v>
      </c>
    </row>
    <row r="55" spans="1:12">
      <c r="A55" s="52" t="s">
        <v>235</v>
      </c>
      <c r="B55" s="3"/>
      <c r="C55" s="61"/>
      <c r="D55" s="61"/>
      <c r="E55" s="61"/>
      <c r="F55" s="61"/>
      <c r="G55" s="93"/>
      <c r="H55" s="38"/>
      <c r="I55" s="38"/>
      <c r="J55" s="38"/>
      <c r="K55" s="38"/>
      <c r="L55" s="77" t="s">
        <v>236</v>
      </c>
    </row>
    <row r="56" spans="1:12">
      <c r="A56" s="52" t="s">
        <v>237</v>
      </c>
      <c r="B56" s="3"/>
      <c r="C56" s="61"/>
      <c r="D56" s="61"/>
      <c r="E56" s="61"/>
      <c r="F56" s="61"/>
      <c r="G56" s="93"/>
      <c r="H56" s="38"/>
      <c r="I56" s="38"/>
      <c r="J56" s="38"/>
      <c r="K56" s="38"/>
      <c r="L56" s="77" t="s">
        <v>238</v>
      </c>
    </row>
    <row r="57" spans="1:12">
      <c r="A57" s="37" t="s">
        <v>239</v>
      </c>
      <c r="B57" s="7"/>
      <c r="C57" s="39">
        <f t="shared" ref="C57:K57" si="17">SUM(C52:C56)</f>
        <v>0</v>
      </c>
      <c r="D57" s="39">
        <f t="shared" si="17"/>
        <v>0</v>
      </c>
      <c r="E57" s="39">
        <f t="shared" si="17"/>
        <v>0</v>
      </c>
      <c r="F57" s="39">
        <f t="shared" si="17"/>
        <v>0</v>
      </c>
      <c r="G57" s="88">
        <f t="shared" si="17"/>
        <v>0</v>
      </c>
      <c r="H57" s="39">
        <f t="shared" si="17"/>
        <v>0</v>
      </c>
      <c r="I57" s="39">
        <f t="shared" si="17"/>
        <v>0</v>
      </c>
      <c r="J57" s="39">
        <f t="shared" si="17"/>
        <v>0</v>
      </c>
      <c r="K57" s="39">
        <f t="shared" si="17"/>
        <v>0</v>
      </c>
      <c r="L57" s="77" t="s">
        <v>240</v>
      </c>
    </row>
    <row r="58" spans="1:12">
      <c r="A58" s="52"/>
      <c r="B58" s="3"/>
      <c r="C58" s="6"/>
      <c r="D58" s="6"/>
      <c r="E58" s="6"/>
      <c r="F58" s="6"/>
      <c r="G58" s="86"/>
      <c r="H58" s="6"/>
      <c r="I58" s="6"/>
      <c r="J58" s="6"/>
      <c r="K58" s="6"/>
      <c r="L58" s="77"/>
    </row>
    <row r="59" spans="1:12">
      <c r="A59" s="103" t="s">
        <v>181</v>
      </c>
      <c r="B59" s="103"/>
      <c r="C59" s="115"/>
      <c r="D59" s="115"/>
      <c r="E59" s="115"/>
      <c r="F59" s="115"/>
      <c r="G59" s="115"/>
      <c r="H59" s="115"/>
      <c r="I59" s="115"/>
      <c r="J59" s="115"/>
      <c r="K59" s="115"/>
      <c r="L59" s="116"/>
    </row>
    <row r="60" spans="1:12">
      <c r="A60" s="52" t="s">
        <v>241</v>
      </c>
      <c r="B60" s="3"/>
      <c r="C60" s="61"/>
      <c r="D60" s="61"/>
      <c r="E60" s="61"/>
      <c r="F60" s="61"/>
      <c r="G60" s="93"/>
      <c r="H60" s="38"/>
      <c r="I60" s="38"/>
      <c r="J60" s="38"/>
      <c r="K60" s="38"/>
      <c r="L60" s="77" t="s">
        <v>242</v>
      </c>
    </row>
    <row r="61" spans="1:12">
      <c r="A61" s="52" t="s">
        <v>243</v>
      </c>
      <c r="B61" s="3"/>
      <c r="C61" s="61"/>
      <c r="D61" s="61"/>
      <c r="E61" s="61"/>
      <c r="F61" s="61"/>
      <c r="G61" s="93"/>
      <c r="H61" s="38"/>
      <c r="I61" s="38"/>
      <c r="J61" s="38"/>
      <c r="K61" s="38"/>
      <c r="L61" s="77" t="s">
        <v>244</v>
      </c>
    </row>
    <row r="62" spans="1:12">
      <c r="A62" s="37" t="s">
        <v>245</v>
      </c>
      <c r="B62" s="7"/>
      <c r="C62" s="39">
        <f t="shared" ref="C62:K62" si="18">SUM(C60:C61)</f>
        <v>0</v>
      </c>
      <c r="D62" s="39">
        <f t="shared" si="18"/>
        <v>0</v>
      </c>
      <c r="E62" s="39">
        <f t="shared" si="18"/>
        <v>0</v>
      </c>
      <c r="F62" s="39">
        <f t="shared" si="18"/>
        <v>0</v>
      </c>
      <c r="G62" s="88">
        <f t="shared" si="18"/>
        <v>0</v>
      </c>
      <c r="H62" s="39">
        <f t="shared" si="18"/>
        <v>0</v>
      </c>
      <c r="I62" s="39">
        <f t="shared" si="18"/>
        <v>0</v>
      </c>
      <c r="J62" s="39">
        <f t="shared" si="18"/>
        <v>0</v>
      </c>
      <c r="K62" s="39">
        <f t="shared" si="18"/>
        <v>0</v>
      </c>
      <c r="L62" s="77" t="s">
        <v>246</v>
      </c>
    </row>
    <row r="63" spans="1:12">
      <c r="A63" s="52"/>
      <c r="B63" s="3"/>
      <c r="C63" s="6"/>
      <c r="D63" s="6"/>
      <c r="E63" s="6"/>
      <c r="F63" s="6"/>
      <c r="G63" s="86"/>
      <c r="H63" s="6"/>
      <c r="I63" s="6"/>
      <c r="J63" s="6"/>
      <c r="K63" s="6"/>
      <c r="L63" s="77"/>
    </row>
    <row r="64" spans="1:12">
      <c r="A64" s="52"/>
      <c r="B64" s="3"/>
      <c r="C64" s="6"/>
      <c r="D64" s="6"/>
      <c r="E64" s="6"/>
      <c r="F64" s="6"/>
      <c r="G64" s="86"/>
      <c r="H64" s="6"/>
      <c r="I64" s="6"/>
      <c r="J64" s="6"/>
      <c r="K64" s="6"/>
      <c r="L64" s="77"/>
    </row>
    <row r="65" spans="1:12">
      <c r="A65" s="103" t="s">
        <v>247</v>
      </c>
      <c r="B65" s="103"/>
      <c r="C65" s="115"/>
      <c r="D65" s="115"/>
      <c r="E65" s="115"/>
      <c r="F65" s="115"/>
      <c r="G65" s="115"/>
      <c r="H65" s="115"/>
      <c r="I65" s="115"/>
      <c r="J65" s="115"/>
      <c r="K65" s="115"/>
      <c r="L65" s="116"/>
    </row>
    <row r="66" spans="1:12">
      <c r="A66" s="52" t="s">
        <v>3</v>
      </c>
      <c r="C66" s="40">
        <v>288</v>
      </c>
      <c r="D66" s="40">
        <v>288</v>
      </c>
      <c r="E66" s="40">
        <v>288</v>
      </c>
      <c r="F66" s="61">
        <f>E66</f>
        <v>288</v>
      </c>
      <c r="G66" s="93"/>
      <c r="H66" s="38"/>
      <c r="I66" s="38"/>
      <c r="J66" s="38"/>
      <c r="K66" s="38"/>
      <c r="L66" s="77" t="s">
        <v>248</v>
      </c>
    </row>
    <row r="67" spans="1:12">
      <c r="A67" s="52" t="s">
        <v>4</v>
      </c>
      <c r="C67" s="40">
        <v>720</v>
      </c>
      <c r="D67" s="40">
        <v>720</v>
      </c>
      <c r="E67" s="40">
        <v>720</v>
      </c>
      <c r="F67" s="61">
        <f>20*12</f>
        <v>240</v>
      </c>
      <c r="G67" s="93">
        <f>F67</f>
        <v>240</v>
      </c>
      <c r="H67" s="38">
        <f t="shared" ref="H67:K67" si="19">G67</f>
        <v>240</v>
      </c>
      <c r="I67" s="38">
        <f t="shared" si="19"/>
        <v>240</v>
      </c>
      <c r="J67" s="38">
        <f t="shared" si="19"/>
        <v>240</v>
      </c>
      <c r="K67" s="38">
        <f t="shared" si="19"/>
        <v>240</v>
      </c>
      <c r="L67" s="77" t="s">
        <v>248</v>
      </c>
    </row>
    <row r="68" spans="1:12">
      <c r="A68" s="52" t="s">
        <v>5</v>
      </c>
      <c r="C68" s="40">
        <v>300</v>
      </c>
      <c r="D68" s="40">
        <v>300</v>
      </c>
      <c r="E68" s="40">
        <v>300</v>
      </c>
      <c r="F68" s="61"/>
      <c r="G68" s="93"/>
      <c r="H68" s="38"/>
      <c r="I68" s="38"/>
      <c r="J68" s="38"/>
      <c r="K68" s="38"/>
      <c r="L68" s="77" t="s">
        <v>249</v>
      </c>
    </row>
    <row r="69" spans="1:12">
      <c r="A69" s="96" t="s">
        <v>9</v>
      </c>
      <c r="C69" s="40">
        <v>300</v>
      </c>
      <c r="D69" s="40">
        <v>300</v>
      </c>
      <c r="E69" s="40">
        <v>300</v>
      </c>
      <c r="F69" s="61"/>
      <c r="G69" s="93"/>
      <c r="H69" s="38"/>
      <c r="I69" s="38"/>
      <c r="J69" s="38"/>
      <c r="K69" s="38"/>
      <c r="L69" s="77" t="s">
        <v>250</v>
      </c>
    </row>
    <row r="70" spans="1:12">
      <c r="A70" s="96" t="s">
        <v>6</v>
      </c>
      <c r="C70" s="40">
        <v>180</v>
      </c>
      <c r="D70" s="40">
        <v>180</v>
      </c>
      <c r="E70" s="40">
        <v>180</v>
      </c>
      <c r="F70" s="61"/>
      <c r="G70" s="93"/>
      <c r="H70" s="38"/>
      <c r="I70" s="38"/>
      <c r="J70" s="38"/>
      <c r="K70" s="38"/>
      <c r="L70" s="77" t="s">
        <v>249</v>
      </c>
    </row>
    <row r="71" spans="1:12">
      <c r="A71" s="52" t="s">
        <v>7</v>
      </c>
      <c r="C71" s="40">
        <v>240</v>
      </c>
      <c r="D71" s="40">
        <v>240</v>
      </c>
      <c r="E71" s="40">
        <v>240</v>
      </c>
      <c r="F71" s="61"/>
      <c r="G71" s="93"/>
      <c r="H71" s="38"/>
      <c r="I71" s="38"/>
      <c r="J71" s="38"/>
      <c r="K71" s="38"/>
      <c r="L71" s="77" t="s">
        <v>251</v>
      </c>
    </row>
    <row r="72" spans="1:12">
      <c r="A72" s="52" t="s">
        <v>10</v>
      </c>
      <c r="C72" s="40">
        <v>100</v>
      </c>
      <c r="D72" s="40">
        <v>100</v>
      </c>
      <c r="E72" s="40">
        <v>100</v>
      </c>
      <c r="F72" s="61"/>
      <c r="G72" s="93"/>
      <c r="H72" s="38"/>
      <c r="I72" s="38"/>
      <c r="J72" s="38"/>
      <c r="K72" s="38"/>
      <c r="L72" s="77" t="s">
        <v>252</v>
      </c>
    </row>
    <row r="73" spans="1:12">
      <c r="A73" s="52" t="s">
        <v>11</v>
      </c>
      <c r="C73" s="40">
        <v>500</v>
      </c>
      <c r="D73" s="40">
        <v>500</v>
      </c>
      <c r="E73" s="40">
        <v>500</v>
      </c>
      <c r="F73" s="61"/>
      <c r="G73" s="93"/>
      <c r="H73" s="38"/>
      <c r="I73" s="38"/>
      <c r="J73" s="38"/>
      <c r="K73" s="38"/>
      <c r="L73" s="77" t="s">
        <v>253</v>
      </c>
    </row>
    <row r="74" spans="1:12">
      <c r="A74" s="52" t="s">
        <v>254</v>
      </c>
      <c r="C74" s="3">
        <v>0</v>
      </c>
      <c r="D74" s="61"/>
      <c r="E74" s="61"/>
      <c r="F74" s="61"/>
      <c r="G74" s="93"/>
      <c r="H74" s="38"/>
      <c r="I74" s="38"/>
      <c r="J74" s="38"/>
      <c r="K74" s="38"/>
      <c r="L74" s="77" t="s">
        <v>255</v>
      </c>
    </row>
    <row r="75" spans="1:12">
      <c r="A75" s="37" t="s">
        <v>256</v>
      </c>
      <c r="B75" s="95"/>
      <c r="C75" s="95">
        <f>SUM(C66:C74)</f>
        <v>2628</v>
      </c>
      <c r="D75" s="95">
        <f t="shared" ref="D75:E75" si="20">SUM(D66:D74)</f>
        <v>2628</v>
      </c>
      <c r="E75" s="95">
        <f t="shared" si="20"/>
        <v>2628</v>
      </c>
      <c r="F75" s="39">
        <f t="shared" ref="F75:K75" si="21">SUM(F66:F74)</f>
        <v>528</v>
      </c>
      <c r="G75" s="88">
        <f t="shared" si="21"/>
        <v>240</v>
      </c>
      <c r="H75" s="39">
        <f t="shared" si="21"/>
        <v>240</v>
      </c>
      <c r="I75" s="39">
        <f t="shared" si="21"/>
        <v>240</v>
      </c>
      <c r="J75" s="39">
        <f t="shared" si="21"/>
        <v>240</v>
      </c>
      <c r="K75" s="39">
        <f t="shared" si="21"/>
        <v>240</v>
      </c>
      <c r="L75" s="77" t="s">
        <v>257</v>
      </c>
    </row>
    <row r="76" spans="1:12">
      <c r="A76" s="52"/>
      <c r="B76" s="3"/>
      <c r="C76" s="6"/>
      <c r="D76" s="6"/>
      <c r="E76" s="6"/>
      <c r="F76" s="6"/>
      <c r="G76" s="86"/>
      <c r="H76" s="6"/>
      <c r="I76" s="6"/>
      <c r="J76" s="6"/>
      <c r="K76" s="6"/>
      <c r="L76" s="77"/>
    </row>
    <row r="77" spans="1:12">
      <c r="A77" s="52"/>
      <c r="B77" s="3"/>
      <c r="C77" s="6"/>
      <c r="D77" s="6"/>
      <c r="E77" s="6"/>
      <c r="F77" s="6"/>
      <c r="G77" s="86"/>
      <c r="H77" s="6"/>
      <c r="I77" s="6"/>
      <c r="J77" s="6"/>
      <c r="K77" s="6"/>
      <c r="L77" s="77"/>
    </row>
    <row r="78" spans="1:12">
      <c r="A78" s="103" t="s">
        <v>154</v>
      </c>
      <c r="B78" s="103"/>
      <c r="C78" s="115"/>
      <c r="D78" s="115"/>
      <c r="E78" s="115"/>
      <c r="F78" s="115"/>
      <c r="G78" s="115"/>
      <c r="H78" s="115"/>
      <c r="I78" s="115"/>
      <c r="J78" s="115"/>
      <c r="K78" s="115"/>
      <c r="L78" s="116"/>
    </row>
    <row r="79" spans="1:12">
      <c r="A79" s="113" t="s">
        <v>285</v>
      </c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4"/>
    </row>
    <row r="80" spans="1:12">
      <c r="A80" s="113" t="s">
        <v>258</v>
      </c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4"/>
    </row>
    <row r="81" spans="1:12">
      <c r="A81" s="113" t="s">
        <v>259</v>
      </c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4"/>
    </row>
    <row r="82" spans="1:12">
      <c r="A82" s="113" t="s">
        <v>260</v>
      </c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4"/>
    </row>
    <row r="83" spans="1:12">
      <c r="A83" s="113" t="s">
        <v>261</v>
      </c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4"/>
    </row>
  </sheetData>
  <mergeCells count="15">
    <mergeCell ref="A44:L44"/>
    <mergeCell ref="A4:L4"/>
    <mergeCell ref="A6:L6"/>
    <mergeCell ref="A16:L16"/>
    <mergeCell ref="A18:L18"/>
    <mergeCell ref="A36:L36"/>
    <mergeCell ref="A81:L81"/>
    <mergeCell ref="A82:L82"/>
    <mergeCell ref="A83:L83"/>
    <mergeCell ref="A51:L51"/>
    <mergeCell ref="A59:L59"/>
    <mergeCell ref="A65:L65"/>
    <mergeCell ref="A78:L78"/>
    <mergeCell ref="A79:L79"/>
    <mergeCell ref="A80:L8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699B-8DBF-416F-9104-017340E89118}">
  <dimension ref="A1:I45"/>
  <sheetViews>
    <sheetView zoomScale="80" zoomScaleNormal="80" workbookViewId="0">
      <selection activeCell="L17" sqref="L17"/>
    </sheetView>
  </sheetViews>
  <sheetFormatPr defaultRowHeight="13"/>
  <cols>
    <col min="1" max="1" width="20.33203125" style="5" bestFit="1" customWidth="1"/>
    <col min="2" max="2" width="12.83203125" style="5" bestFit="1" customWidth="1"/>
    <col min="3" max="3" width="9.9140625" style="5" bestFit="1" customWidth="1"/>
    <col min="4" max="4" width="15.58203125" style="5" bestFit="1" customWidth="1"/>
    <col min="5" max="5" width="14.33203125" style="5" bestFit="1" customWidth="1"/>
    <col min="6" max="6" width="9.9140625" style="5" bestFit="1" customWidth="1"/>
    <col min="7" max="7" width="7" style="5" bestFit="1" customWidth="1"/>
    <col min="8" max="8" width="7.1640625" style="5" bestFit="1" customWidth="1"/>
    <col min="9" max="9" width="12.1640625" style="5" bestFit="1" customWidth="1"/>
    <col min="10" max="16384" width="8.6640625" style="5"/>
  </cols>
  <sheetData>
    <row r="1" spans="1:9">
      <c r="A1" s="3"/>
      <c r="B1" s="3"/>
      <c r="C1" s="3"/>
      <c r="D1" s="3"/>
      <c r="E1" s="3"/>
      <c r="F1" s="3"/>
      <c r="G1" s="3"/>
      <c r="H1" s="3"/>
      <c r="I1" s="3"/>
    </row>
    <row r="2" spans="1:9">
      <c r="A2" s="124" t="s">
        <v>262</v>
      </c>
      <c r="B2" s="124"/>
      <c r="C2" s="124"/>
      <c r="D2" s="3"/>
      <c r="E2" s="3"/>
      <c r="F2" s="3"/>
      <c r="G2" s="3"/>
      <c r="H2" s="3"/>
      <c r="I2" s="3"/>
    </row>
    <row r="3" spans="1:9">
      <c r="A3" s="3" t="s">
        <v>26</v>
      </c>
      <c r="B3" s="38">
        <v>0</v>
      </c>
      <c r="C3" s="3"/>
      <c r="D3" s="3"/>
      <c r="E3" s="3"/>
      <c r="F3" s="3"/>
      <c r="G3" s="3"/>
      <c r="H3" s="3"/>
      <c r="I3" s="3"/>
    </row>
    <row r="4" spans="1:9">
      <c r="A4" s="3" t="s">
        <v>263</v>
      </c>
      <c r="B4" s="24">
        <v>2026</v>
      </c>
      <c r="C4" s="3"/>
      <c r="D4" s="3"/>
      <c r="E4" s="3"/>
      <c r="F4" s="3"/>
      <c r="G4" s="3"/>
      <c r="H4" s="3"/>
      <c r="I4" s="3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124" t="s">
        <v>27</v>
      </c>
      <c r="B6" s="124"/>
      <c r="C6" s="124"/>
      <c r="D6" s="3"/>
      <c r="E6" s="3"/>
      <c r="F6" s="3"/>
      <c r="G6" s="3"/>
      <c r="H6" s="3"/>
      <c r="I6" s="3"/>
    </row>
    <row r="7" spans="1:9">
      <c r="A7" s="64" t="s">
        <v>28</v>
      </c>
      <c r="B7" s="64" t="s">
        <v>29</v>
      </c>
      <c r="C7" s="64" t="s">
        <v>30</v>
      </c>
      <c r="D7" s="3"/>
      <c r="E7" s="3"/>
      <c r="F7" s="3"/>
      <c r="G7" s="3"/>
      <c r="H7" s="3"/>
      <c r="I7" s="3"/>
    </row>
    <row r="8" spans="1:9">
      <c r="A8" s="65" t="s">
        <v>31</v>
      </c>
      <c r="B8" s="9">
        <v>60000</v>
      </c>
      <c r="C8" s="10">
        <v>0.25</v>
      </c>
      <c r="D8" s="3"/>
      <c r="E8" s="3"/>
      <c r="F8" s="3"/>
      <c r="G8" s="3"/>
      <c r="H8" s="3"/>
      <c r="I8" s="3"/>
    </row>
    <row r="9" spans="1:9">
      <c r="A9" s="65" t="s">
        <v>32</v>
      </c>
      <c r="B9" s="9">
        <v>60000</v>
      </c>
      <c r="C9" s="10">
        <v>0.1</v>
      </c>
      <c r="D9" s="3"/>
      <c r="E9" s="3"/>
      <c r="F9" s="3"/>
      <c r="G9" s="3"/>
      <c r="H9" s="3"/>
      <c r="I9" s="3"/>
    </row>
    <row r="10" spans="1:9">
      <c r="A10" s="65" t="s">
        <v>33</v>
      </c>
      <c r="B10" s="9">
        <v>90000</v>
      </c>
      <c r="C10" s="10">
        <v>0.05</v>
      </c>
      <c r="D10" s="3"/>
      <c r="E10" s="3"/>
      <c r="F10" s="3"/>
      <c r="G10" s="3"/>
      <c r="H10" s="3"/>
      <c r="I10" s="3"/>
    </row>
    <row r="11" spans="1:9">
      <c r="A11" s="65" t="s">
        <v>14</v>
      </c>
      <c r="B11" s="9">
        <v>90000</v>
      </c>
      <c r="C11" s="10">
        <v>0.1</v>
      </c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124" t="s">
        <v>34</v>
      </c>
      <c r="B13" s="124"/>
      <c r="C13" s="124"/>
      <c r="D13" s="124"/>
      <c r="E13" s="124"/>
      <c r="F13" s="124"/>
      <c r="G13" s="124"/>
      <c r="H13" s="124"/>
      <c r="I13" s="124"/>
    </row>
    <row r="14" spans="1:9">
      <c r="A14" s="64" t="s">
        <v>35</v>
      </c>
      <c r="B14" s="64" t="s">
        <v>28</v>
      </c>
      <c r="C14" s="64" t="s">
        <v>264</v>
      </c>
      <c r="D14" s="64" t="s">
        <v>36</v>
      </c>
      <c r="E14" s="64" t="s">
        <v>265</v>
      </c>
      <c r="F14" s="64" t="s">
        <v>30</v>
      </c>
      <c r="G14" s="64" t="s">
        <v>37</v>
      </c>
      <c r="H14" s="64" t="s">
        <v>266</v>
      </c>
      <c r="I14" s="64" t="s">
        <v>38</v>
      </c>
    </row>
    <row r="15" spans="1:9">
      <c r="A15" s="8">
        <v>1</v>
      </c>
      <c r="B15" s="8" t="s">
        <v>31</v>
      </c>
      <c r="C15" s="8">
        <v>1</v>
      </c>
      <c r="D15" s="9">
        <v>200000</v>
      </c>
      <c r="E15" s="66">
        <f>IFERROR(INDEX($B$8:$B$11,MATCH(B15,$A$8:$A$11,0)),"")</f>
        <v>60000</v>
      </c>
      <c r="F15" s="67">
        <f>IFERROR(INDEX($C$8:$C$11,MATCH(B15,$A$8:$A$11,0)),"")</f>
        <v>0.25</v>
      </c>
      <c r="G15" s="65" t="str">
        <f>IF($B$3&gt;=D15,"Yes","No")</f>
        <v>No</v>
      </c>
      <c r="H15" s="68" t="str">
        <f>IF(AND(G15="Yes",$B$4&lt;&gt;""),$B$4,"")</f>
        <v/>
      </c>
      <c r="I15" s="65" t="s">
        <v>267</v>
      </c>
    </row>
    <row r="16" spans="1:9">
      <c r="A16" s="8">
        <v>2</v>
      </c>
      <c r="B16" s="8" t="s">
        <v>33</v>
      </c>
      <c r="C16" s="8">
        <v>1</v>
      </c>
      <c r="D16" s="9">
        <v>300000</v>
      </c>
      <c r="E16" s="66">
        <f>IFERROR(INDEX($B$8:$B$11,MATCH(B16,$A$8:$A$11,0)),"")</f>
        <v>90000</v>
      </c>
      <c r="F16" s="67">
        <f>IFERROR(INDEX($C$8:$C$11,MATCH(B16,$A$8:$A$11,0)),"")</f>
        <v>0.05</v>
      </c>
      <c r="G16" s="65" t="str">
        <f>IF(AND($B$3&gt;=D16,G15="Yes"),"Yes","No")</f>
        <v>No</v>
      </c>
      <c r="H16" s="68" t="str">
        <f>IF(AND(G16="Yes",$B$4&lt;&gt;""),$B$4,"")</f>
        <v/>
      </c>
      <c r="I16" s="65" t="str">
        <f>IF(D16&gt;D15,"OK","CHECK")</f>
        <v>OK</v>
      </c>
    </row>
    <row r="17" spans="1:9">
      <c r="A17" s="8">
        <v>3</v>
      </c>
      <c r="B17" s="8" t="s">
        <v>14</v>
      </c>
      <c r="C17" s="8">
        <v>1</v>
      </c>
      <c r="D17" s="9">
        <v>600000</v>
      </c>
      <c r="E17" s="66">
        <f>IFERROR(INDEX($B$8:$B$11,MATCH(B17,$A$8:$A$11,0)),"")</f>
        <v>90000</v>
      </c>
      <c r="F17" s="67">
        <f>IFERROR(INDEX($C$8:$C$11,MATCH(B17,$A$8:$A$11,0)),"")</f>
        <v>0.1</v>
      </c>
      <c r="G17" s="65" t="str">
        <f>IF(AND($B$3&gt;=D17,G16="Yes"),"Yes","No")</f>
        <v>No</v>
      </c>
      <c r="H17" s="68" t="str">
        <f>IF(AND(G17="Yes",$B$4&lt;&gt;""),$B$4,"")</f>
        <v/>
      </c>
      <c r="I17" s="65" t="str">
        <f>IF(D17&gt;D16,"OK","CHECK")</f>
        <v>OK</v>
      </c>
    </row>
    <row r="18" spans="1:9">
      <c r="A18" s="8">
        <v>4</v>
      </c>
      <c r="B18" s="8" t="s">
        <v>33</v>
      </c>
      <c r="C18" s="8">
        <v>1</v>
      </c>
      <c r="D18" s="9">
        <v>900000</v>
      </c>
      <c r="E18" s="66">
        <f>IFERROR(INDEX($B$8:$B$11,MATCH(B18,$A$8:$A$11,0)),"")</f>
        <v>90000</v>
      </c>
      <c r="F18" s="67">
        <f>IFERROR(INDEX($C$8:$C$11,MATCH(B18,$A$8:$A$11,0)),"")</f>
        <v>0.05</v>
      </c>
      <c r="G18" s="65" t="str">
        <f>IF(AND($B$3&gt;=D18,G17="Yes"),"Yes","No")</f>
        <v>No</v>
      </c>
      <c r="H18" s="68" t="str">
        <f>IF(AND(G18="Yes",$B$4&lt;&gt;""),$B$4,"")</f>
        <v/>
      </c>
      <c r="I18" s="65" t="str">
        <f>IF(D18&gt;D17,"OK","CHECK")</f>
        <v>OK</v>
      </c>
    </row>
    <row r="19" spans="1:9">
      <c r="A19" s="8">
        <v>5</v>
      </c>
      <c r="B19" s="8" t="s">
        <v>32</v>
      </c>
      <c r="C19" s="8">
        <v>1</v>
      </c>
      <c r="D19" s="9">
        <v>1200000</v>
      </c>
      <c r="E19" s="66">
        <f>IFERROR(INDEX($B$8:$B$11,MATCH(B19,$A$8:$A$11,0)),"")</f>
        <v>60000</v>
      </c>
      <c r="F19" s="67">
        <f>IFERROR(INDEX($C$8:$C$11,MATCH(B19,$A$8:$A$11,0)),"")</f>
        <v>0.1</v>
      </c>
      <c r="G19" s="65" t="str">
        <f>IF(AND($B$3&gt;=D19,G18="Yes"),"Yes","No")</f>
        <v>No</v>
      </c>
      <c r="H19" s="68" t="str">
        <f>IF(AND(G19="Yes",$B$4&lt;&gt;""),$B$4,"")</f>
        <v/>
      </c>
      <c r="I19" s="65" t="str">
        <f>IF(D19&gt;D18,"OK","CHECK")</f>
        <v>OK</v>
      </c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114" t="s">
        <v>268</v>
      </c>
      <c r="B21" s="114"/>
      <c r="C21" s="114"/>
      <c r="D21" s="114"/>
      <c r="E21" s="114"/>
      <c r="F21" s="114"/>
      <c r="G21" s="114"/>
      <c r="H21" s="114"/>
      <c r="I21" s="114"/>
    </row>
    <row r="22" spans="1:9">
      <c r="A22" s="114"/>
      <c r="B22" s="114"/>
      <c r="C22" s="114"/>
      <c r="D22" s="114"/>
      <c r="E22" s="114"/>
      <c r="F22" s="114"/>
      <c r="G22" s="114"/>
      <c r="H22" s="114"/>
      <c r="I22" s="114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124" t="s">
        <v>269</v>
      </c>
      <c r="B24" s="124"/>
      <c r="C24" s="124"/>
      <c r="D24" s="124"/>
      <c r="E24" s="124"/>
      <c r="F24" s="124"/>
      <c r="G24" s="124"/>
      <c r="H24" s="3"/>
      <c r="I24" s="3"/>
    </row>
    <row r="25" spans="1:9">
      <c r="A25" s="3"/>
      <c r="B25" s="64" t="s">
        <v>270</v>
      </c>
      <c r="C25" s="64" t="s">
        <v>21</v>
      </c>
      <c r="D25" s="64" t="s">
        <v>22</v>
      </c>
      <c r="E25" s="64" t="s">
        <v>23</v>
      </c>
      <c r="F25" s="64" t="s">
        <v>24</v>
      </c>
      <c r="G25" s="64" t="s">
        <v>25</v>
      </c>
      <c r="H25" s="3"/>
      <c r="I25" s="3"/>
    </row>
    <row r="26" spans="1:9">
      <c r="A26" s="3"/>
      <c r="B26" s="76">
        <v>2026</v>
      </c>
      <c r="C26" s="76">
        <v>2027</v>
      </c>
      <c r="D26" s="76">
        <v>2028</v>
      </c>
      <c r="E26" s="76">
        <v>2029</v>
      </c>
      <c r="F26" s="76">
        <v>2030</v>
      </c>
      <c r="G26" s="76">
        <v>2031</v>
      </c>
      <c r="H26" s="3"/>
      <c r="I26" s="3"/>
    </row>
    <row r="27" spans="1:9">
      <c r="A27" s="57" t="s">
        <v>271</v>
      </c>
      <c r="B27" s="57"/>
      <c r="C27" s="57"/>
      <c r="D27" s="57"/>
      <c r="E27" s="57"/>
      <c r="F27" s="57"/>
      <c r="G27" s="57"/>
      <c r="H27" s="3"/>
      <c r="I27" s="3"/>
    </row>
    <row r="28" spans="1:9">
      <c r="A28" s="3" t="s">
        <v>31</v>
      </c>
      <c r="B28" s="34">
        <f t="shared" ref="B28:G28" si="0">IF(AND($G$15="Yes",$H$15&lt;=B$26),$C$15,0)</f>
        <v>0</v>
      </c>
      <c r="C28" s="34">
        <f t="shared" si="0"/>
        <v>0</v>
      </c>
      <c r="D28" s="34">
        <f t="shared" si="0"/>
        <v>0</v>
      </c>
      <c r="E28" s="34">
        <f t="shared" si="0"/>
        <v>0</v>
      </c>
      <c r="F28" s="34">
        <f t="shared" si="0"/>
        <v>0</v>
      </c>
      <c r="G28" s="34">
        <f t="shared" si="0"/>
        <v>0</v>
      </c>
      <c r="H28" s="3"/>
      <c r="I28" s="3"/>
    </row>
    <row r="29" spans="1:9">
      <c r="A29" s="3" t="s">
        <v>272</v>
      </c>
      <c r="B29" s="34">
        <f t="shared" ref="B29:G29" si="1">IF(AND($G$16="Yes",$H$16&lt;=B$26),$C$16,0)+IF(AND($G$18="Yes",$H$18&lt;=B$26),$C$18,0)</f>
        <v>0</v>
      </c>
      <c r="C29" s="34">
        <f t="shared" si="1"/>
        <v>0</v>
      </c>
      <c r="D29" s="34">
        <f t="shared" si="1"/>
        <v>0</v>
      </c>
      <c r="E29" s="34">
        <f t="shared" si="1"/>
        <v>0</v>
      </c>
      <c r="F29" s="34">
        <f t="shared" si="1"/>
        <v>0</v>
      </c>
      <c r="G29" s="34">
        <f t="shared" si="1"/>
        <v>0</v>
      </c>
      <c r="H29" s="3"/>
      <c r="I29" s="3"/>
    </row>
    <row r="30" spans="1:9">
      <c r="A30" s="3" t="s">
        <v>14</v>
      </c>
      <c r="B30" s="34">
        <f t="shared" ref="B30:G30" si="2">IF(AND($G$17="Yes",$H$17&lt;=B$26),$C$17,0)</f>
        <v>0</v>
      </c>
      <c r="C30" s="34">
        <f t="shared" si="2"/>
        <v>0</v>
      </c>
      <c r="D30" s="34">
        <f t="shared" si="2"/>
        <v>0</v>
      </c>
      <c r="E30" s="34">
        <f t="shared" si="2"/>
        <v>0</v>
      </c>
      <c r="F30" s="34">
        <f t="shared" si="2"/>
        <v>0</v>
      </c>
      <c r="G30" s="34">
        <f t="shared" si="2"/>
        <v>0</v>
      </c>
      <c r="H30" s="3"/>
      <c r="I30" s="3"/>
    </row>
    <row r="31" spans="1:9">
      <c r="A31" s="3" t="s">
        <v>32</v>
      </c>
      <c r="B31" s="34">
        <f t="shared" ref="B31:G31" si="3">IF(AND($G$19="Yes",$H$19&lt;=B$26),$C$19,0)</f>
        <v>0</v>
      </c>
      <c r="C31" s="34">
        <f t="shared" si="3"/>
        <v>0</v>
      </c>
      <c r="D31" s="34">
        <f t="shared" si="3"/>
        <v>0</v>
      </c>
      <c r="E31" s="34">
        <f t="shared" si="3"/>
        <v>0</v>
      </c>
      <c r="F31" s="34">
        <f t="shared" si="3"/>
        <v>0</v>
      </c>
      <c r="G31" s="34">
        <f t="shared" si="3"/>
        <v>0</v>
      </c>
      <c r="H31" s="3"/>
      <c r="I31" s="3"/>
    </row>
    <row r="32" spans="1:9">
      <c r="A32" s="7" t="s">
        <v>273</v>
      </c>
      <c r="B32" s="69">
        <f t="shared" ref="B32:G32" si="4">SUM(B28:B31)</f>
        <v>0</v>
      </c>
      <c r="C32" s="69">
        <f t="shared" si="4"/>
        <v>0</v>
      </c>
      <c r="D32" s="69">
        <f t="shared" si="4"/>
        <v>0</v>
      </c>
      <c r="E32" s="69">
        <f t="shared" si="4"/>
        <v>0</v>
      </c>
      <c r="F32" s="69">
        <f t="shared" si="4"/>
        <v>0</v>
      </c>
      <c r="G32" s="69">
        <f t="shared" si="4"/>
        <v>0</v>
      </c>
      <c r="H32" s="3"/>
      <c r="I32" s="3"/>
    </row>
    <row r="33" spans="1:9">
      <c r="A33" s="3"/>
      <c r="B33" s="6"/>
      <c r="C33" s="6"/>
      <c r="D33" s="6"/>
      <c r="E33" s="6"/>
      <c r="F33" s="6"/>
      <c r="G33" s="6"/>
      <c r="H33" s="3"/>
      <c r="I33" s="3"/>
    </row>
    <row r="34" spans="1:9">
      <c r="A34" s="57" t="s">
        <v>274</v>
      </c>
      <c r="B34" s="58"/>
      <c r="C34" s="58"/>
      <c r="D34" s="58"/>
      <c r="E34" s="58"/>
      <c r="F34" s="58"/>
      <c r="G34" s="58"/>
      <c r="H34" s="3"/>
      <c r="I34" s="3"/>
    </row>
    <row r="35" spans="1:9">
      <c r="A35" s="3" t="s">
        <v>31</v>
      </c>
      <c r="B35" s="40">
        <f t="shared" ref="B35:G35" si="5">IF(AND($G$15="Yes",$H$15&lt;=B$26),$C$15*$E$15*(1+$F$15)^(B$26-$H$15),0)</f>
        <v>0</v>
      </c>
      <c r="C35" s="40">
        <f t="shared" si="5"/>
        <v>0</v>
      </c>
      <c r="D35" s="40">
        <f t="shared" si="5"/>
        <v>0</v>
      </c>
      <c r="E35" s="40">
        <f t="shared" si="5"/>
        <v>0</v>
      </c>
      <c r="F35" s="40">
        <f t="shared" si="5"/>
        <v>0</v>
      </c>
      <c r="G35" s="40">
        <f t="shared" si="5"/>
        <v>0</v>
      </c>
      <c r="H35" s="3"/>
      <c r="I35" s="3"/>
    </row>
    <row r="36" spans="1:9">
      <c r="A36" s="3" t="s">
        <v>272</v>
      </c>
      <c r="B36" s="40">
        <f t="shared" ref="B36:G36" si="6">IF(AND($G$16="Yes",$H$16&lt;=B$26),$C$16*$E$16*(1+$F$16)^(B$26-$H$16),0)+IF(AND($G$18="Yes",$H$18&lt;=B$26),$C$18*$E$18*(1+$F$18)^(B$26-$H$18),0)</f>
        <v>0</v>
      </c>
      <c r="C36" s="40">
        <f t="shared" si="6"/>
        <v>0</v>
      </c>
      <c r="D36" s="40">
        <f t="shared" si="6"/>
        <v>0</v>
      </c>
      <c r="E36" s="40">
        <f t="shared" si="6"/>
        <v>0</v>
      </c>
      <c r="F36" s="40">
        <f t="shared" si="6"/>
        <v>0</v>
      </c>
      <c r="G36" s="40">
        <f t="shared" si="6"/>
        <v>0</v>
      </c>
      <c r="H36" s="3"/>
      <c r="I36" s="3"/>
    </row>
    <row r="37" spans="1:9">
      <c r="A37" s="3" t="s">
        <v>14</v>
      </c>
      <c r="B37" s="40">
        <f t="shared" ref="B37:G37" si="7">IF(AND($G$17="Yes",$H$17&lt;=B$26),$C$17*$E$17*(1+$F$17)^(B$26-$H$17),0)</f>
        <v>0</v>
      </c>
      <c r="C37" s="40">
        <f t="shared" si="7"/>
        <v>0</v>
      </c>
      <c r="D37" s="40">
        <f t="shared" si="7"/>
        <v>0</v>
      </c>
      <c r="E37" s="40">
        <f t="shared" si="7"/>
        <v>0</v>
      </c>
      <c r="F37" s="40">
        <f t="shared" si="7"/>
        <v>0</v>
      </c>
      <c r="G37" s="40">
        <f t="shared" si="7"/>
        <v>0</v>
      </c>
      <c r="H37" s="3"/>
      <c r="I37" s="3"/>
    </row>
    <row r="38" spans="1:9">
      <c r="A38" s="3" t="s">
        <v>32</v>
      </c>
      <c r="B38" s="40">
        <f t="shared" ref="B38:G38" si="8">IF(AND($G$19="Yes",$H$19&lt;=B$26),$C$19*$E$19*(1+$F$19)^(B$26-$H$19),0)</f>
        <v>0</v>
      </c>
      <c r="C38" s="40">
        <f t="shared" si="8"/>
        <v>0</v>
      </c>
      <c r="D38" s="40">
        <f t="shared" si="8"/>
        <v>0</v>
      </c>
      <c r="E38" s="40">
        <f t="shared" si="8"/>
        <v>0</v>
      </c>
      <c r="F38" s="40">
        <f t="shared" si="8"/>
        <v>0</v>
      </c>
      <c r="G38" s="40">
        <f t="shared" si="8"/>
        <v>0</v>
      </c>
      <c r="H38" s="3"/>
      <c r="I38" s="3"/>
    </row>
    <row r="39" spans="1:9">
      <c r="A39" s="7" t="s">
        <v>200</v>
      </c>
      <c r="B39" s="39">
        <f t="shared" ref="B39:G39" si="9">SUM(B35:B38)</f>
        <v>0</v>
      </c>
      <c r="C39" s="39">
        <f t="shared" si="9"/>
        <v>0</v>
      </c>
      <c r="D39" s="39">
        <f t="shared" si="9"/>
        <v>0</v>
      </c>
      <c r="E39" s="39">
        <f t="shared" si="9"/>
        <v>0</v>
      </c>
      <c r="F39" s="39">
        <f t="shared" si="9"/>
        <v>0</v>
      </c>
      <c r="G39" s="39">
        <f t="shared" si="9"/>
        <v>0</v>
      </c>
      <c r="H39" s="3"/>
      <c r="I39" s="3"/>
    </row>
    <row r="40" spans="1:9">
      <c r="A40" s="3"/>
      <c r="B40" s="6"/>
      <c r="C40" s="6"/>
      <c r="D40" s="6"/>
      <c r="E40" s="6"/>
      <c r="F40" s="6"/>
      <c r="G40" s="6"/>
      <c r="H40" s="3"/>
      <c r="I40" s="3"/>
    </row>
    <row r="41" spans="1:9">
      <c r="A41" s="57" t="s">
        <v>275</v>
      </c>
      <c r="B41" s="58"/>
      <c r="C41" s="58"/>
      <c r="D41" s="58"/>
      <c r="E41" s="58"/>
      <c r="F41" s="58"/>
      <c r="G41" s="58"/>
      <c r="H41" s="3"/>
      <c r="I41" s="3"/>
    </row>
    <row r="42" spans="1:9">
      <c r="A42" s="7" t="s">
        <v>276</v>
      </c>
      <c r="B42" s="69">
        <f t="shared" ref="B42:G42" si="10">IF($H$15=B$26,$C$15,0)+IF($H$16=B$26,$C$16,0)+IF($H$17=B$26,$C$17,0)+IF($H$18=B$26,$C$18,0)+IF($H$19=B$26,$C$19,0)</f>
        <v>0</v>
      </c>
      <c r="C42" s="69">
        <f t="shared" si="10"/>
        <v>0</v>
      </c>
      <c r="D42" s="69">
        <f t="shared" si="10"/>
        <v>0</v>
      </c>
      <c r="E42" s="69">
        <f t="shared" si="10"/>
        <v>0</v>
      </c>
      <c r="F42" s="69">
        <f t="shared" si="10"/>
        <v>0</v>
      </c>
      <c r="G42" s="69">
        <f t="shared" si="10"/>
        <v>0</v>
      </c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</sheetData>
  <mergeCells count="5">
    <mergeCell ref="A2:C2"/>
    <mergeCell ref="A6:C6"/>
    <mergeCell ref="A13:I13"/>
    <mergeCell ref="A21:I22"/>
    <mergeCell ref="A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IS</vt:lpstr>
      <vt:lpstr>Revenue_T</vt:lpstr>
      <vt:lpstr>Revenue_B</vt:lpstr>
      <vt:lpstr>Marketing Plan</vt:lpstr>
      <vt:lpstr>Comparable Companies</vt:lpstr>
      <vt:lpstr>Expenses_Y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Chendika</cp:lastModifiedBy>
  <dcterms:modified xsi:type="dcterms:W3CDTF">2026-08-28T23:02:39Z</dcterms:modified>
</cp:coreProperties>
</file>