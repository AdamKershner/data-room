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th\Downloads\"/>
    </mc:Choice>
  </mc:AlternateContent>
  <xr:revisionPtr revIDLastSave="0" documentId="13_ncr:1_{195479FE-C3B3-4350-BEAE-1BC3A19405C6}" xr6:coauthVersionLast="47" xr6:coauthVersionMax="47" xr10:uidLastSave="{00000000-0000-0000-0000-000000000000}"/>
  <bookViews>
    <workbookView xWindow="-110" yWindow="-110" windowWidth="19420" windowHeight="11500" tabRatio="500" activeTab="2" xr2:uid="{00000000-000D-0000-FFFF-FFFF00000000}"/>
  </bookViews>
  <sheets>
    <sheet name="Summary IS" sheetId="1" r:id="rId1"/>
    <sheet name="Revenue_T" sheetId="2" r:id="rId2"/>
    <sheet name="Revenue_B" sheetId="3" r:id="rId3"/>
    <sheet name="Expenses_Y" sheetId="4" r:id="rId4"/>
    <sheet name="Checks" sheetId="5" r:id="rId5"/>
    <sheet name="Comparable Companies" sheetId="6" r:id="rId6"/>
    <sheet name="Seed Raise Pla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40" i="3" l="1"/>
  <c r="G105" i="3"/>
  <c r="H68" i="3"/>
  <c r="G17" i="3"/>
  <c r="C24" i="2"/>
  <c r="G20" i="3"/>
  <c r="H17" i="3"/>
  <c r="C8" i="7"/>
  <c r="C9" i="7"/>
  <c r="C7" i="7"/>
  <c r="B10" i="7"/>
  <c r="C10" i="7" s="1"/>
  <c r="I25" i="7"/>
  <c r="F25" i="7"/>
  <c r="E25" i="7"/>
  <c r="I24" i="7"/>
  <c r="F24" i="7"/>
  <c r="E24" i="7"/>
  <c r="I23" i="7"/>
  <c r="F23" i="7"/>
  <c r="E23" i="7"/>
  <c r="I22" i="7"/>
  <c r="F22" i="7"/>
  <c r="E22" i="7"/>
  <c r="F21" i="7"/>
  <c r="E21" i="7"/>
  <c r="F75" i="4"/>
  <c r="E75" i="4"/>
  <c r="D75" i="4"/>
  <c r="C75" i="4"/>
  <c r="F63" i="4"/>
  <c r="F65" i="4" s="1"/>
  <c r="F13" i="4" s="1"/>
  <c r="E63" i="4"/>
  <c r="E65" i="4" s="1"/>
  <c r="E13" i="4" s="1"/>
  <c r="D63" i="4"/>
  <c r="D65" i="4" s="1"/>
  <c r="D13" i="4" s="1"/>
  <c r="C63" i="4"/>
  <c r="C65" i="4" s="1"/>
  <c r="C13" i="4" s="1"/>
  <c r="L59" i="4"/>
  <c r="K59" i="4"/>
  <c r="J59" i="4"/>
  <c r="I59" i="4"/>
  <c r="H59" i="4"/>
  <c r="G59" i="4"/>
  <c r="F59" i="4"/>
  <c r="E59" i="4"/>
  <c r="D59" i="4"/>
  <c r="C59" i="4"/>
  <c r="L51" i="4"/>
  <c r="K51" i="4"/>
  <c r="J51" i="4"/>
  <c r="I51" i="4"/>
  <c r="H51" i="4"/>
  <c r="G51" i="4"/>
  <c r="G11" i="4" s="1"/>
  <c r="F51" i="4"/>
  <c r="E51" i="4"/>
  <c r="D51" i="4"/>
  <c r="C51" i="4"/>
  <c r="L43" i="4"/>
  <c r="K43" i="4"/>
  <c r="J43" i="4"/>
  <c r="I43" i="4"/>
  <c r="H43" i="4"/>
  <c r="G43" i="4"/>
  <c r="F41" i="4"/>
  <c r="F43" i="4" s="1"/>
  <c r="F10" i="4" s="1"/>
  <c r="E41" i="4"/>
  <c r="E43" i="4" s="1"/>
  <c r="E10" i="4" s="1"/>
  <c r="D41" i="4"/>
  <c r="D43" i="4" s="1"/>
  <c r="D10" i="4" s="1"/>
  <c r="C41" i="4"/>
  <c r="C43" i="4" s="1"/>
  <c r="C10" i="4" s="1"/>
  <c r="G33" i="4"/>
  <c r="F33" i="4"/>
  <c r="E33" i="4"/>
  <c r="D33" i="4"/>
  <c r="C33" i="4"/>
  <c r="H30" i="4"/>
  <c r="K29" i="4"/>
  <c r="J29" i="4"/>
  <c r="I29" i="4"/>
  <c r="H29" i="4"/>
  <c r="G29" i="4"/>
  <c r="F29" i="4"/>
  <c r="E29" i="4"/>
  <c r="D29" i="4"/>
  <c r="C29" i="4"/>
  <c r="L28" i="4"/>
  <c r="L27" i="4"/>
  <c r="L29" i="4" s="1"/>
  <c r="J26" i="4"/>
  <c r="I26" i="4"/>
  <c r="H26" i="4"/>
  <c r="G26" i="4"/>
  <c r="F26" i="4"/>
  <c r="E26" i="4"/>
  <c r="D26" i="4"/>
  <c r="C26" i="4"/>
  <c r="K25" i="4"/>
  <c r="K24" i="4"/>
  <c r="I23" i="4"/>
  <c r="H23" i="4"/>
  <c r="G23" i="4"/>
  <c r="F23" i="4"/>
  <c r="E23" i="4"/>
  <c r="D23" i="4"/>
  <c r="C23" i="4"/>
  <c r="J22" i="4"/>
  <c r="J21" i="4"/>
  <c r="H20" i="4"/>
  <c r="G20" i="4"/>
  <c r="G34" i="4" s="1"/>
  <c r="F20" i="4"/>
  <c r="F34" i="4" s="1"/>
  <c r="E20" i="4"/>
  <c r="E34" i="4" s="1"/>
  <c r="D20" i="4"/>
  <c r="D34" i="4" s="1"/>
  <c r="C20" i="4"/>
  <c r="C34" i="4" s="1"/>
  <c r="I19" i="4"/>
  <c r="I18" i="4"/>
  <c r="L12" i="4"/>
  <c r="K12" i="4"/>
  <c r="J12" i="4"/>
  <c r="I12" i="4"/>
  <c r="H12" i="4"/>
  <c r="G12" i="4"/>
  <c r="F12" i="4"/>
  <c r="E12" i="4"/>
  <c r="D12" i="4"/>
  <c r="C12" i="4"/>
  <c r="L11" i="4"/>
  <c r="K11" i="4"/>
  <c r="J11" i="4"/>
  <c r="I11" i="4"/>
  <c r="H11" i="4"/>
  <c r="F11" i="4"/>
  <c r="E11" i="4"/>
  <c r="D11" i="4"/>
  <c r="C11" i="4"/>
  <c r="L10" i="4"/>
  <c r="K10" i="4"/>
  <c r="J10" i="4"/>
  <c r="I10" i="4"/>
  <c r="H10" i="4"/>
  <c r="G10" i="4"/>
  <c r="L142" i="3"/>
  <c r="K142" i="3"/>
  <c r="J142" i="3"/>
  <c r="H142" i="3"/>
  <c r="G142" i="3"/>
  <c r="G140" i="3"/>
  <c r="H120" i="3"/>
  <c r="I120" i="3" s="1"/>
  <c r="J120" i="3" s="1"/>
  <c r="K120" i="3" s="1"/>
  <c r="L120" i="3" s="1"/>
  <c r="H119" i="3"/>
  <c r="I119" i="3" s="1"/>
  <c r="J119" i="3" s="1"/>
  <c r="K119" i="3" s="1"/>
  <c r="L119" i="3" s="1"/>
  <c r="H118" i="3"/>
  <c r="I118" i="3" s="1"/>
  <c r="J118" i="3" s="1"/>
  <c r="K118" i="3" s="1"/>
  <c r="L118" i="3" s="1"/>
  <c r="H117" i="3"/>
  <c r="I117" i="3" s="1"/>
  <c r="J117" i="3" s="1"/>
  <c r="K117" i="3" s="1"/>
  <c r="L117" i="3" s="1"/>
  <c r="H116" i="3"/>
  <c r="I116" i="3" s="1"/>
  <c r="J116" i="3" s="1"/>
  <c r="K116" i="3" s="1"/>
  <c r="L116" i="3" s="1"/>
  <c r="H115" i="3"/>
  <c r="I115" i="3" s="1"/>
  <c r="J115" i="3" s="1"/>
  <c r="K115" i="3" s="1"/>
  <c r="L115" i="3" s="1"/>
  <c r="H114" i="3"/>
  <c r="I114" i="3" s="1"/>
  <c r="J114" i="3" s="1"/>
  <c r="K114" i="3" s="1"/>
  <c r="L114" i="3" s="1"/>
  <c r="H113" i="3"/>
  <c r="I113" i="3" s="1"/>
  <c r="J113" i="3" s="1"/>
  <c r="K113" i="3" s="1"/>
  <c r="L113" i="3" s="1"/>
  <c r="H112" i="3"/>
  <c r="I112" i="3" s="1"/>
  <c r="J112" i="3" s="1"/>
  <c r="K112" i="3" s="1"/>
  <c r="L112" i="3" s="1"/>
  <c r="H111" i="3"/>
  <c r="I111" i="3" s="1"/>
  <c r="J111" i="3" s="1"/>
  <c r="K111" i="3" s="1"/>
  <c r="L111" i="3" s="1"/>
  <c r="H110" i="3"/>
  <c r="I110" i="3" s="1"/>
  <c r="J110" i="3" s="1"/>
  <c r="K110" i="3" s="1"/>
  <c r="L110" i="3" s="1"/>
  <c r="H109" i="3"/>
  <c r="I109" i="3" s="1"/>
  <c r="J109" i="3" s="1"/>
  <c r="K109" i="3" s="1"/>
  <c r="L109" i="3" s="1"/>
  <c r="H99" i="3"/>
  <c r="I99" i="3" s="1"/>
  <c r="J99" i="3" s="1"/>
  <c r="K99" i="3" s="1"/>
  <c r="L99" i="3" s="1"/>
  <c r="H98" i="3"/>
  <c r="I98" i="3" s="1"/>
  <c r="J98" i="3" s="1"/>
  <c r="K98" i="3" s="1"/>
  <c r="L98" i="3" s="1"/>
  <c r="H97" i="3"/>
  <c r="I97" i="3" s="1"/>
  <c r="J97" i="3" s="1"/>
  <c r="K97" i="3" s="1"/>
  <c r="L97" i="3" s="1"/>
  <c r="H96" i="3"/>
  <c r="I96" i="3" s="1"/>
  <c r="J96" i="3" s="1"/>
  <c r="K96" i="3" s="1"/>
  <c r="L96" i="3" s="1"/>
  <c r="H95" i="3"/>
  <c r="I95" i="3" s="1"/>
  <c r="J95" i="3" s="1"/>
  <c r="K95" i="3" s="1"/>
  <c r="L95" i="3" s="1"/>
  <c r="H94" i="3"/>
  <c r="I94" i="3" s="1"/>
  <c r="J94" i="3" s="1"/>
  <c r="K94" i="3" s="1"/>
  <c r="L94" i="3" s="1"/>
  <c r="H93" i="3"/>
  <c r="I93" i="3" s="1"/>
  <c r="J93" i="3" s="1"/>
  <c r="K93" i="3" s="1"/>
  <c r="L93" i="3" s="1"/>
  <c r="H92" i="3"/>
  <c r="I92" i="3" s="1"/>
  <c r="J92" i="3" s="1"/>
  <c r="K92" i="3" s="1"/>
  <c r="L92" i="3" s="1"/>
  <c r="H83" i="3"/>
  <c r="I83" i="3" s="1"/>
  <c r="J83" i="3" s="1"/>
  <c r="K83" i="3" s="1"/>
  <c r="L83" i="3" s="1"/>
  <c r="H82" i="3"/>
  <c r="I82" i="3" s="1"/>
  <c r="G77" i="3"/>
  <c r="G76" i="3"/>
  <c r="L66" i="3"/>
  <c r="K66" i="3"/>
  <c r="J66" i="3"/>
  <c r="I66" i="3"/>
  <c r="L65" i="3"/>
  <c r="K65" i="3"/>
  <c r="J65" i="3"/>
  <c r="I65" i="3"/>
  <c r="L64" i="3"/>
  <c r="K64" i="3"/>
  <c r="J64" i="3"/>
  <c r="I64" i="3"/>
  <c r="L63" i="3"/>
  <c r="K63" i="3"/>
  <c r="J63" i="3"/>
  <c r="I63" i="3"/>
  <c r="H56" i="3"/>
  <c r="I56" i="3" s="1"/>
  <c r="J56" i="3" s="1"/>
  <c r="K56" i="3" s="1"/>
  <c r="L56" i="3" s="1"/>
  <c r="L49" i="3"/>
  <c r="L51" i="3" s="1"/>
  <c r="K49" i="3"/>
  <c r="K51" i="3" s="1"/>
  <c r="J49" i="3"/>
  <c r="J51" i="3" s="1"/>
  <c r="I49" i="3"/>
  <c r="H49" i="3"/>
  <c r="H51" i="3" s="1"/>
  <c r="G49" i="3"/>
  <c r="G51" i="3" s="1"/>
  <c r="F49" i="3"/>
  <c r="E49" i="3"/>
  <c r="D49" i="3"/>
  <c r="C49" i="3"/>
  <c r="L46" i="3"/>
  <c r="L48" i="3" s="1"/>
  <c r="L52" i="3" s="1"/>
  <c r="K46" i="3"/>
  <c r="K48" i="3" s="1"/>
  <c r="K52" i="3" s="1"/>
  <c r="J46" i="3"/>
  <c r="J48" i="3" s="1"/>
  <c r="J52" i="3" s="1"/>
  <c r="I46" i="3"/>
  <c r="I48" i="3" s="1"/>
  <c r="H46" i="3"/>
  <c r="H48" i="3" s="1"/>
  <c r="H52" i="3" s="1"/>
  <c r="G46" i="3"/>
  <c r="G48" i="3" s="1"/>
  <c r="G52" i="3" s="1"/>
  <c r="F46" i="3"/>
  <c r="E46" i="3"/>
  <c r="D46" i="3"/>
  <c r="C46" i="3"/>
  <c r="I36" i="3"/>
  <c r="I38" i="3" s="1"/>
  <c r="I41" i="3" s="1"/>
  <c r="H36" i="3"/>
  <c r="H38" i="3" s="1"/>
  <c r="H41" i="3" s="1"/>
  <c r="G36" i="3"/>
  <c r="G38" i="3" s="1"/>
  <c r="G41" i="3" s="1"/>
  <c r="F36" i="3"/>
  <c r="E36" i="3"/>
  <c r="D36" i="3"/>
  <c r="C36" i="3"/>
  <c r="H30" i="3"/>
  <c r="H32" i="3" s="1"/>
  <c r="G30" i="3"/>
  <c r="G32" i="3" s="1"/>
  <c r="F30" i="3"/>
  <c r="E30" i="3"/>
  <c r="D30" i="3"/>
  <c r="C30" i="3"/>
  <c r="H29" i="3"/>
  <c r="L22" i="3"/>
  <c r="L25" i="3" s="1"/>
  <c r="K22" i="3"/>
  <c r="K25" i="3" s="1"/>
  <c r="J22" i="3"/>
  <c r="J25" i="3" s="1"/>
  <c r="I22" i="3"/>
  <c r="I25" i="3" s="1"/>
  <c r="H22" i="3"/>
  <c r="H25" i="3" s="1"/>
  <c r="G22" i="3"/>
  <c r="G25" i="3" s="1"/>
  <c r="F22" i="3"/>
  <c r="E22" i="3"/>
  <c r="D22" i="3"/>
  <c r="C22" i="3"/>
  <c r="L17" i="3"/>
  <c r="L20" i="3" s="1"/>
  <c r="K17" i="3"/>
  <c r="K20" i="3" s="1"/>
  <c r="J17" i="3"/>
  <c r="J20" i="3" s="1"/>
  <c r="I17" i="3"/>
  <c r="I20" i="3" s="1"/>
  <c r="H20" i="3"/>
  <c r="F17" i="3"/>
  <c r="E17" i="3"/>
  <c r="D17" i="3"/>
  <c r="C17" i="3"/>
  <c r="L16" i="3"/>
  <c r="K16" i="3"/>
  <c r="J16" i="3"/>
  <c r="I16" i="3"/>
  <c r="H16" i="3"/>
  <c r="G16" i="3"/>
  <c r="F16" i="3"/>
  <c r="E16" i="3"/>
  <c r="D16" i="3"/>
  <c r="C16" i="3"/>
  <c r="H15" i="3"/>
  <c r="G15" i="3"/>
  <c r="F15" i="3"/>
  <c r="E15" i="3"/>
  <c r="D15" i="3"/>
  <c r="C15" i="3"/>
  <c r="C22" i="2"/>
  <c r="C19" i="2"/>
  <c r="C17" i="2"/>
  <c r="G55" i="1"/>
  <c r="F14" i="1"/>
  <c r="E14" i="1"/>
  <c r="D14" i="1"/>
  <c r="C14" i="1"/>
  <c r="F8" i="1"/>
  <c r="E8" i="1"/>
  <c r="D8" i="1"/>
  <c r="C8" i="1"/>
  <c r="G21" i="3" l="1"/>
  <c r="G26" i="3" s="1"/>
  <c r="H21" i="3"/>
  <c r="H26" i="3" s="1"/>
  <c r="I51" i="3"/>
  <c r="I52" i="3" s="1"/>
  <c r="I142" i="3"/>
  <c r="G21" i="7"/>
  <c r="I30" i="4"/>
  <c r="H33" i="4"/>
  <c r="L25" i="4"/>
  <c r="L24" i="4"/>
  <c r="L26" i="4" s="1"/>
  <c r="K26" i="4"/>
  <c r="K22" i="4"/>
  <c r="J36" i="3"/>
  <c r="J38" i="3" s="1"/>
  <c r="J41" i="3" s="1"/>
  <c r="J23" i="4"/>
  <c r="K21" i="4"/>
  <c r="G36" i="4"/>
  <c r="G37" i="4" s="1"/>
  <c r="G9" i="4" s="1"/>
  <c r="F36" i="4"/>
  <c r="F37" i="4"/>
  <c r="F9" i="4" s="1"/>
  <c r="F14" i="4" s="1"/>
  <c r="E36" i="4"/>
  <c r="E37" i="4" s="1"/>
  <c r="D36" i="4"/>
  <c r="D37" i="4" s="1"/>
  <c r="C36" i="4"/>
  <c r="C37" i="4" s="1"/>
  <c r="J19" i="4"/>
  <c r="I30" i="3"/>
  <c r="I32" i="3" s="1"/>
  <c r="I20" i="4"/>
  <c r="J18" i="4"/>
  <c r="J82" i="3"/>
  <c r="K82" i="3" s="1"/>
  <c r="L82" i="3" s="1"/>
  <c r="C5" i="5"/>
  <c r="E5" i="5" s="1"/>
  <c r="G5" i="5" s="1"/>
  <c r="G85" i="3"/>
  <c r="G78" i="3"/>
  <c r="G84" i="3"/>
  <c r="G86" i="3" s="1"/>
  <c r="H35" i="3"/>
  <c r="H141" i="3"/>
  <c r="G35" i="3"/>
  <c r="G42" i="3" s="1"/>
  <c r="G141" i="3"/>
  <c r="H42" i="3"/>
  <c r="I29" i="3"/>
  <c r="E1" i="2"/>
  <c r="F1" i="2"/>
  <c r="G1" i="2"/>
  <c r="H1" i="2"/>
  <c r="I1" i="2"/>
  <c r="J1" i="2"/>
  <c r="K1" i="2"/>
  <c r="L1" i="2"/>
  <c r="M1" i="2"/>
  <c r="N1" i="2"/>
  <c r="O1" i="2"/>
  <c r="P1" i="2"/>
  <c r="Q1" i="2"/>
  <c r="R1" i="2"/>
  <c r="L7" i="2"/>
  <c r="M7" i="2"/>
  <c r="N7" i="2"/>
  <c r="P7" i="2"/>
  <c r="Q7" i="2"/>
  <c r="R7" i="2"/>
  <c r="D1" i="2"/>
  <c r="C25" i="2"/>
  <c r="O7" i="2"/>
  <c r="C7" i="2"/>
  <c r="D7" i="2"/>
  <c r="E7" i="2"/>
  <c r="F7" i="2"/>
  <c r="G7" i="2"/>
  <c r="H7" i="2"/>
  <c r="I7" i="2"/>
  <c r="J7" i="2"/>
  <c r="K7" i="2"/>
  <c r="C9" i="2"/>
  <c r="C18" i="2"/>
  <c r="C21" i="2" s="1"/>
  <c r="F19" i="1"/>
  <c r="F15" i="1"/>
  <c r="F22" i="1"/>
  <c r="F21" i="1"/>
  <c r="F23" i="1" s="1"/>
  <c r="F20" i="1"/>
  <c r="F16" i="1"/>
  <c r="E20" i="1"/>
  <c r="E21" i="1"/>
  <c r="E22" i="1"/>
  <c r="E15" i="1"/>
  <c r="E16" i="1" s="1"/>
  <c r="D21" i="1"/>
  <c r="D20" i="1"/>
  <c r="D22" i="1"/>
  <c r="D15" i="1"/>
  <c r="D16" i="1" s="1"/>
  <c r="C15" i="1"/>
  <c r="C22" i="1"/>
  <c r="C20" i="1"/>
  <c r="C16" i="1"/>
  <c r="C21" i="1"/>
  <c r="C17" i="1"/>
  <c r="H43" i="3" l="1"/>
  <c r="H55" i="3" s="1"/>
  <c r="G43" i="3"/>
  <c r="G55" i="3" s="1"/>
  <c r="G22" i="7"/>
  <c r="H21" i="7"/>
  <c r="H22" i="7"/>
  <c r="G23" i="7"/>
  <c r="G34" i="7"/>
  <c r="B34" i="7"/>
  <c r="F34" i="7"/>
  <c r="G41" i="7"/>
  <c r="E34" i="7"/>
  <c r="D34" i="7"/>
  <c r="C34" i="7"/>
  <c r="E41" i="7"/>
  <c r="I33" i="4"/>
  <c r="I15" i="3"/>
  <c r="I21" i="3" s="1"/>
  <c r="I26" i="3" s="1"/>
  <c r="J30" i="4"/>
  <c r="H34" i="4"/>
  <c r="H140" i="3"/>
  <c r="L21" i="4"/>
  <c r="L23" i="4" s="1"/>
  <c r="K23" i="4"/>
  <c r="J30" i="3"/>
  <c r="J32" i="3" s="1"/>
  <c r="K19" i="4"/>
  <c r="I35" i="3"/>
  <c r="I141" i="3"/>
  <c r="J20" i="4"/>
  <c r="K18" i="4"/>
  <c r="J29" i="3"/>
  <c r="I42" i="3"/>
  <c r="E8" i="2"/>
  <c r="E9" i="2"/>
  <c r="E10" i="2" s="1"/>
  <c r="F8" i="2"/>
  <c r="F9" i="2"/>
  <c r="F10" i="2"/>
  <c r="G8" i="2"/>
  <c r="G9" i="2"/>
  <c r="G10" i="2"/>
  <c r="H8" i="2"/>
  <c r="H9" i="2"/>
  <c r="H10" i="2"/>
  <c r="I8" i="2"/>
  <c r="I9" i="2"/>
  <c r="I10" i="2"/>
  <c r="J8" i="2"/>
  <c r="J9" i="2"/>
  <c r="J10" i="2" s="1"/>
  <c r="K2" i="2"/>
  <c r="K8" i="2"/>
  <c r="K9" i="2"/>
  <c r="K10" i="2"/>
  <c r="L2" i="2"/>
  <c r="L8" i="2"/>
  <c r="L9" i="2"/>
  <c r="L10" i="2" s="1"/>
  <c r="L11" i="2"/>
  <c r="M2" i="2"/>
  <c r="M8" i="2"/>
  <c r="M9" i="2"/>
  <c r="M10" i="2"/>
  <c r="M11" i="2"/>
  <c r="M12" i="2"/>
  <c r="M13" i="2"/>
  <c r="N2" i="2"/>
  <c r="N8" i="2"/>
  <c r="N9" i="2"/>
  <c r="N10" i="2"/>
  <c r="N11" i="2"/>
  <c r="N12" i="2"/>
  <c r="N13" i="2"/>
  <c r="O2" i="2"/>
  <c r="O8" i="2"/>
  <c r="O9" i="2"/>
  <c r="O10" i="2"/>
  <c r="O11" i="2"/>
  <c r="O12" i="2"/>
  <c r="O13" i="2"/>
  <c r="P2" i="2"/>
  <c r="P8" i="2"/>
  <c r="P9" i="2"/>
  <c r="P10" i="2"/>
  <c r="P11" i="2"/>
  <c r="P12" i="2"/>
  <c r="P13" i="2"/>
  <c r="Q2" i="2"/>
  <c r="Q8" i="2"/>
  <c r="Q9" i="2"/>
  <c r="Q10" i="2"/>
  <c r="Q11" i="2"/>
  <c r="Q12" i="2"/>
  <c r="Q13" i="2"/>
  <c r="R2" i="2"/>
  <c r="R8" i="2"/>
  <c r="R9" i="2"/>
  <c r="R10" i="2"/>
  <c r="R11" i="2"/>
  <c r="R12" i="2"/>
  <c r="R13" i="2"/>
  <c r="D8" i="2"/>
  <c r="D9" i="2"/>
  <c r="D10" i="2"/>
  <c r="C23" i="2"/>
  <c r="C11" i="2"/>
  <c r="C10" i="2"/>
  <c r="C12" i="2" s="1"/>
  <c r="L22" i="4"/>
  <c r="L36" i="3" s="1"/>
  <c r="L38" i="3" s="1"/>
  <c r="L41" i="3" s="1"/>
  <c r="K36" i="3"/>
  <c r="K38" i="3" s="1"/>
  <c r="K41" i="3" s="1"/>
  <c r="E19" i="1"/>
  <c r="E23" i="1" s="1"/>
  <c r="E9" i="4"/>
  <c r="E14" i="4" s="1"/>
  <c r="D19" i="1"/>
  <c r="D23" i="1" s="1"/>
  <c r="D9" i="4"/>
  <c r="D14" i="4" s="1"/>
  <c r="E15" i="4" s="1"/>
  <c r="C19" i="1"/>
  <c r="C23" i="1" s="1"/>
  <c r="C25" i="1" s="1"/>
  <c r="C9" i="4"/>
  <c r="C14" i="4" s="1"/>
  <c r="D15" i="4" s="1"/>
  <c r="G143" i="3"/>
  <c r="D8" i="5"/>
  <c r="F25" i="1"/>
  <c r="F17" i="1"/>
  <c r="E25" i="1"/>
  <c r="E17" i="1"/>
  <c r="D25" i="1"/>
  <c r="D17" i="1"/>
  <c r="L12" i="2" l="1"/>
  <c r="J11" i="2"/>
  <c r="J12" i="2" s="1"/>
  <c r="K11" i="2"/>
  <c r="K12" i="2" s="1"/>
  <c r="E11" i="2"/>
  <c r="E12" i="2" s="1"/>
  <c r="H58" i="3"/>
  <c r="H57" i="3"/>
  <c r="G57" i="3"/>
  <c r="G79" i="3" s="1"/>
  <c r="G58" i="3"/>
  <c r="G80" i="3" s="1"/>
  <c r="G88" i="3" s="1"/>
  <c r="F41" i="7"/>
  <c r="D41" i="7"/>
  <c r="C41" i="7"/>
  <c r="B41" i="7"/>
  <c r="G24" i="7"/>
  <c r="G25" i="7" s="1"/>
  <c r="H23" i="7"/>
  <c r="G43" i="7"/>
  <c r="B36" i="7"/>
  <c r="C36" i="7"/>
  <c r="D36" i="7"/>
  <c r="E36" i="7"/>
  <c r="F36" i="7"/>
  <c r="G36" i="7"/>
  <c r="F43" i="7"/>
  <c r="B43" i="7"/>
  <c r="C43" i="7"/>
  <c r="D43" i="7"/>
  <c r="E43" i="7"/>
  <c r="H24" i="7"/>
  <c r="I34" i="4"/>
  <c r="I140" i="3"/>
  <c r="K30" i="4"/>
  <c r="J15" i="3"/>
  <c r="J21" i="3" s="1"/>
  <c r="J26" i="3" s="1"/>
  <c r="J33" i="4"/>
  <c r="H36" i="4"/>
  <c r="H37" i="4" s="1"/>
  <c r="H143" i="3"/>
  <c r="D11" i="5"/>
  <c r="J35" i="3"/>
  <c r="J42" i="3" s="1"/>
  <c r="J141" i="3"/>
  <c r="K30" i="3"/>
  <c r="K32" i="3" s="1"/>
  <c r="L19" i="4"/>
  <c r="L30" i="3" s="1"/>
  <c r="L32" i="3" s="1"/>
  <c r="L18" i="4"/>
  <c r="L20" i="4" s="1"/>
  <c r="K20" i="4"/>
  <c r="K29" i="3"/>
  <c r="C26" i="1"/>
  <c r="C28" i="1"/>
  <c r="F26" i="1"/>
  <c r="F28" i="1"/>
  <c r="E26" i="1"/>
  <c r="E28" i="1"/>
  <c r="D26" i="1"/>
  <c r="D28" i="1"/>
  <c r="I43" i="3"/>
  <c r="I55" i="3" s="1"/>
  <c r="F11" i="2"/>
  <c r="F12" i="2" s="1"/>
  <c r="G11" i="2"/>
  <c r="G12" i="2" s="1"/>
  <c r="H11" i="2"/>
  <c r="H12" i="2" s="1"/>
  <c r="I11" i="2"/>
  <c r="I12" i="2" s="1"/>
  <c r="D11" i="2"/>
  <c r="D12" i="2" s="1"/>
  <c r="C8" i="5"/>
  <c r="E8" i="5" s="1"/>
  <c r="G8" i="5" s="1"/>
  <c r="G144" i="3"/>
  <c r="L13" i="2" l="1"/>
  <c r="K13" i="2"/>
  <c r="J13" i="2"/>
  <c r="I9" i="1"/>
  <c r="I34" i="1"/>
  <c r="J43" i="3"/>
  <c r="J55" i="3" s="1"/>
  <c r="G87" i="3"/>
  <c r="G81" i="3"/>
  <c r="G104" i="3"/>
  <c r="G125" i="3" s="1"/>
  <c r="G132" i="3" s="1"/>
  <c r="H77" i="3"/>
  <c r="G126" i="3"/>
  <c r="G133" i="3" s="1"/>
  <c r="G35" i="7"/>
  <c r="E35" i="7"/>
  <c r="H25" i="7"/>
  <c r="I36" i="4"/>
  <c r="I37" i="4"/>
  <c r="I9" i="4" s="1"/>
  <c r="D14" i="5"/>
  <c r="I143" i="3"/>
  <c r="K33" i="4"/>
  <c r="K15" i="3"/>
  <c r="K21" i="3" s="1"/>
  <c r="K26" i="3" s="1"/>
  <c r="L30" i="4"/>
  <c r="J57" i="3"/>
  <c r="J58" i="3"/>
  <c r="J34" i="4"/>
  <c r="J140" i="3"/>
  <c r="D25" i="5"/>
  <c r="H9" i="4"/>
  <c r="H144" i="3"/>
  <c r="C11" i="5"/>
  <c r="E11" i="5" s="1"/>
  <c r="G11" i="5" s="1"/>
  <c r="K35" i="3"/>
  <c r="K141" i="3"/>
  <c r="L35" i="3"/>
  <c r="L141" i="3"/>
  <c r="C4" i="5"/>
  <c r="E4" i="5" s="1"/>
  <c r="G4" i="5" s="1"/>
  <c r="L29" i="3"/>
  <c r="L42" i="3" s="1"/>
  <c r="K42" i="3"/>
  <c r="C29" i="1"/>
  <c r="C30" i="1" s="1"/>
  <c r="C31" i="1" s="1"/>
  <c r="F29" i="1"/>
  <c r="F30" i="1" s="1"/>
  <c r="F31" i="1" s="1"/>
  <c r="E29" i="1"/>
  <c r="E30" i="1" s="1"/>
  <c r="E31" i="1" s="1"/>
  <c r="D29" i="1"/>
  <c r="D30" i="1" s="1"/>
  <c r="D31" i="1" s="1"/>
  <c r="I58" i="3"/>
  <c r="I57" i="3"/>
  <c r="J34" i="1"/>
  <c r="J9" i="1"/>
  <c r="F13" i="2"/>
  <c r="G13" i="2"/>
  <c r="K34" i="1"/>
  <c r="K9" i="1"/>
  <c r="H13" i="2"/>
  <c r="L34" i="1"/>
  <c r="L9" i="1"/>
  <c r="I13" i="2"/>
  <c r="H34" i="1"/>
  <c r="H9" i="1"/>
  <c r="D13" i="2"/>
  <c r="E13" i="2"/>
  <c r="B35" i="7"/>
  <c r="E42" i="7"/>
  <c r="F35" i="7"/>
  <c r="B42" i="7"/>
  <c r="F42" i="7"/>
  <c r="G42" i="7"/>
  <c r="C42" i="7"/>
  <c r="D35" i="7"/>
  <c r="D42" i="7"/>
  <c r="C35" i="7"/>
  <c r="I39" i="1" l="1"/>
  <c r="I40" i="1"/>
  <c r="I41" i="1"/>
  <c r="I42" i="1"/>
  <c r="C6" i="5"/>
  <c r="G103" i="3"/>
  <c r="G124" i="3" s="1"/>
  <c r="H76" i="3"/>
  <c r="G135" i="3"/>
  <c r="G9" i="3" s="1"/>
  <c r="G102" i="3"/>
  <c r="G89" i="3"/>
  <c r="D6" i="5" s="1"/>
  <c r="E6" i="5" s="1"/>
  <c r="G6" i="5" s="1"/>
  <c r="H85" i="3"/>
  <c r="H69" i="3"/>
  <c r="H70" i="3"/>
  <c r="H72" i="3" s="1"/>
  <c r="D44" i="7"/>
  <c r="D45" i="7" s="1"/>
  <c r="E44" i="7"/>
  <c r="E45" i="7" s="1"/>
  <c r="F44" i="7"/>
  <c r="F45" i="7" s="1"/>
  <c r="B44" i="7"/>
  <c r="B45" i="7" s="1"/>
  <c r="C44" i="7"/>
  <c r="C45" i="7" s="1"/>
  <c r="G44" i="7"/>
  <c r="G45" i="7" s="1"/>
  <c r="D37" i="7"/>
  <c r="D38" i="7" s="1"/>
  <c r="E37" i="7"/>
  <c r="E38" i="7" s="1"/>
  <c r="F37" i="7"/>
  <c r="F38" i="7" s="1"/>
  <c r="G37" i="7"/>
  <c r="G38" i="7" s="1"/>
  <c r="K34" i="4"/>
  <c r="L33" i="4"/>
  <c r="L15" i="3"/>
  <c r="L21" i="3" s="1"/>
  <c r="L26" i="3" s="1"/>
  <c r="L43" i="3" s="1"/>
  <c r="L55" i="3" s="1"/>
  <c r="J36" i="4"/>
  <c r="J37" i="4"/>
  <c r="J9" i="4" s="1"/>
  <c r="J143" i="3"/>
  <c r="D17" i="5"/>
  <c r="J39" i="1"/>
  <c r="J40" i="1"/>
  <c r="J41" i="1"/>
  <c r="J42" i="1"/>
  <c r="K40" i="1"/>
  <c r="K41" i="1"/>
  <c r="K42" i="1"/>
  <c r="L40" i="1"/>
  <c r="L41" i="1"/>
  <c r="L42" i="1"/>
  <c r="H39" i="1"/>
  <c r="H43" i="1" s="1"/>
  <c r="H40" i="1"/>
  <c r="H41" i="1"/>
  <c r="H42" i="1"/>
  <c r="K43" i="3"/>
  <c r="K55" i="3" s="1"/>
  <c r="D48" i="7"/>
  <c r="B48" i="7"/>
  <c r="G48" i="7"/>
  <c r="C48" i="7"/>
  <c r="B37" i="7"/>
  <c r="B38" i="7" s="1"/>
  <c r="C37" i="7"/>
  <c r="C38" i="7" s="1"/>
  <c r="E48" i="7"/>
  <c r="F48" i="7"/>
  <c r="C14" i="5"/>
  <c r="E14" i="5" s="1"/>
  <c r="G14" i="5" s="1"/>
  <c r="I144" i="3"/>
  <c r="J43" i="1" l="1"/>
  <c r="I43" i="1"/>
  <c r="G131" i="3"/>
  <c r="G128" i="3"/>
  <c r="H80" i="3"/>
  <c r="H88" i="3" s="1"/>
  <c r="H104" i="3" s="1"/>
  <c r="H125" i="3" s="1"/>
  <c r="H132" i="3" s="1"/>
  <c r="H78" i="3"/>
  <c r="H84" i="3"/>
  <c r="H86" i="3" s="1"/>
  <c r="H67" i="3"/>
  <c r="H71" i="3" s="1"/>
  <c r="G106" i="3"/>
  <c r="G123" i="3"/>
  <c r="K37" i="4"/>
  <c r="K36" i="4"/>
  <c r="K143" i="3"/>
  <c r="D20" i="5"/>
  <c r="L34" i="4"/>
  <c r="L140" i="3"/>
  <c r="L57" i="3"/>
  <c r="L58" i="3"/>
  <c r="J144" i="3"/>
  <c r="C17" i="5"/>
  <c r="E17" i="5" s="1"/>
  <c r="G17" i="5" s="1"/>
  <c r="K58" i="3"/>
  <c r="K57" i="3"/>
  <c r="H105" i="3" l="1"/>
  <c r="H126" i="3" s="1"/>
  <c r="H133" i="3" s="1"/>
  <c r="I77" i="3"/>
  <c r="I69" i="3" s="1"/>
  <c r="H79" i="3"/>
  <c r="H73" i="3"/>
  <c r="G130" i="3"/>
  <c r="G127" i="3"/>
  <c r="G129" i="3" s="1"/>
  <c r="K39" i="1"/>
  <c r="K43" i="1" s="1"/>
  <c r="K9" i="4"/>
  <c r="L36" i="4"/>
  <c r="L37" i="4"/>
  <c r="D23" i="5"/>
  <c r="L143" i="3"/>
  <c r="C20" i="5"/>
  <c r="E20" i="5" s="1"/>
  <c r="G20" i="5" s="1"/>
  <c r="K144" i="3"/>
  <c r="I85" i="3" l="1"/>
  <c r="I70" i="3"/>
  <c r="H81" i="3"/>
  <c r="H87" i="3"/>
  <c r="G136" i="3"/>
  <c r="G134" i="3"/>
  <c r="G63" i="4" s="1"/>
  <c r="G65" i="4" s="1"/>
  <c r="G13" i="4" s="1"/>
  <c r="G14" i="4" s="1"/>
  <c r="L39" i="1"/>
  <c r="L43" i="1" s="1"/>
  <c r="L9" i="4"/>
  <c r="L144" i="3"/>
  <c r="C23" i="5"/>
  <c r="E23" i="5" s="1"/>
  <c r="G23" i="5" s="1"/>
  <c r="H103" i="3" l="1"/>
  <c r="H124" i="3" s="1"/>
  <c r="C9" i="5"/>
  <c r="H102" i="3"/>
  <c r="H89" i="3"/>
  <c r="D9" i="5" s="1"/>
  <c r="I76" i="3"/>
  <c r="H135" i="3"/>
  <c r="H9" i="3" s="1"/>
  <c r="G137" i="3"/>
  <c r="D7" i="5" s="1"/>
  <c r="G10" i="3"/>
  <c r="G11" i="3" s="1"/>
  <c r="E9" i="5" l="1"/>
  <c r="G9" i="5" s="1"/>
  <c r="H128" i="3"/>
  <c r="H131" i="3"/>
  <c r="I78" i="3"/>
  <c r="I84" i="3"/>
  <c r="I86" i="3" s="1"/>
  <c r="I67" i="3"/>
  <c r="I71" i="3" s="1"/>
  <c r="I68" i="3"/>
  <c r="I72" i="3" s="1"/>
  <c r="I80" i="3" s="1"/>
  <c r="I88" i="3" s="1"/>
  <c r="H106" i="3"/>
  <c r="H123" i="3"/>
  <c r="G14" i="1"/>
  <c r="G15" i="1" s="1"/>
  <c r="G16" i="1" s="1"/>
  <c r="C7" i="5"/>
  <c r="E7" i="5" s="1"/>
  <c r="G7" i="5" s="1"/>
  <c r="G8" i="1"/>
  <c r="H130" i="3" l="1"/>
  <c r="H127" i="3"/>
  <c r="H129" i="3" s="1"/>
  <c r="I79" i="3"/>
  <c r="I73" i="3"/>
  <c r="J77" i="3"/>
  <c r="I105" i="3"/>
  <c r="I126" i="3" s="1"/>
  <c r="I133" i="3" s="1"/>
  <c r="I104" i="3"/>
  <c r="I125" i="3" s="1"/>
  <c r="I132" i="3" s="1"/>
  <c r="G19" i="1"/>
  <c r="G20" i="1"/>
  <c r="G22" i="1"/>
  <c r="G21" i="1"/>
  <c r="G17" i="1"/>
  <c r="H136" i="3" l="1"/>
  <c r="H134" i="3"/>
  <c r="I87" i="3"/>
  <c r="I81" i="3"/>
  <c r="J85" i="3"/>
  <c r="J69" i="3"/>
  <c r="J70" i="3"/>
  <c r="G23" i="1"/>
  <c r="G25" i="1" s="1"/>
  <c r="H137" i="3" l="1"/>
  <c r="D10" i="5" s="1"/>
  <c r="H10" i="3"/>
  <c r="H11" i="3" s="1"/>
  <c r="D27" i="5"/>
  <c r="H63" i="4"/>
  <c r="J76" i="3"/>
  <c r="C12" i="5"/>
  <c r="I135" i="3"/>
  <c r="I9" i="3" s="1"/>
  <c r="I103" i="3"/>
  <c r="I124" i="3" s="1"/>
  <c r="I102" i="3"/>
  <c r="I89" i="3"/>
  <c r="D12" i="5" s="1"/>
  <c r="G26" i="1"/>
  <c r="G28" i="1"/>
  <c r="G29" i="1" s="1"/>
  <c r="G30" i="1" s="1"/>
  <c r="G31" i="1" s="1"/>
  <c r="D24" i="5" l="1"/>
  <c r="C10" i="5"/>
  <c r="E10" i="5" s="1"/>
  <c r="G10" i="5" s="1"/>
  <c r="H14" i="1"/>
  <c r="H8" i="1"/>
  <c r="H65" i="4"/>
  <c r="C27" i="5"/>
  <c r="E27" i="5" s="1"/>
  <c r="G27" i="5" s="1"/>
  <c r="E12" i="5"/>
  <c r="G12" i="5" s="1"/>
  <c r="J78" i="3"/>
  <c r="J84" i="3"/>
  <c r="J86" i="3" s="1"/>
  <c r="J67" i="3"/>
  <c r="J71" i="3" s="1"/>
  <c r="J68" i="3"/>
  <c r="J72" i="3" s="1"/>
  <c r="J80" i="3" s="1"/>
  <c r="J88" i="3" s="1"/>
  <c r="I131" i="3"/>
  <c r="I128" i="3"/>
  <c r="I106" i="3"/>
  <c r="I123" i="3"/>
  <c r="I130" i="3" l="1"/>
  <c r="I127" i="3"/>
  <c r="I129" i="3" s="1"/>
  <c r="H15" i="1"/>
  <c r="H19" i="1"/>
  <c r="H20" i="1"/>
  <c r="H21" i="1"/>
  <c r="H22" i="1"/>
  <c r="C24" i="5"/>
  <c r="E24" i="5" s="1"/>
  <c r="G24" i="5" s="1"/>
  <c r="H11" i="1"/>
  <c r="H10" i="1"/>
  <c r="H35" i="1"/>
  <c r="H36" i="1" s="1"/>
  <c r="H13" i="4"/>
  <c r="D26" i="5"/>
  <c r="J79" i="3"/>
  <c r="J73" i="3"/>
  <c r="K77" i="3"/>
  <c r="J105" i="3"/>
  <c r="J126" i="3" s="1"/>
  <c r="J133" i="3" s="1"/>
  <c r="J104" i="3"/>
  <c r="J125" i="3" s="1"/>
  <c r="J132" i="3" s="1"/>
  <c r="I134" i="3" l="1"/>
  <c r="I63" i="4" s="1"/>
  <c r="I65" i="4" s="1"/>
  <c r="I136" i="3"/>
  <c r="C26" i="5"/>
  <c r="E26" i="5" s="1"/>
  <c r="G26" i="5" s="1"/>
  <c r="H16" i="1"/>
  <c r="C25" i="5"/>
  <c r="E25" i="5" s="1"/>
  <c r="G25" i="5" s="1"/>
  <c r="H23" i="1"/>
  <c r="H45" i="1"/>
  <c r="H37" i="1"/>
  <c r="D28" i="5"/>
  <c r="H14" i="4"/>
  <c r="C28" i="5" s="1"/>
  <c r="E28" i="5" s="1"/>
  <c r="G28" i="5" s="1"/>
  <c r="K85" i="3"/>
  <c r="K69" i="3"/>
  <c r="K70" i="3"/>
  <c r="J87" i="3"/>
  <c r="K76" i="3" s="1"/>
  <c r="J81" i="3"/>
  <c r="I13" i="4" l="1"/>
  <c r="I14" i="4" s="1"/>
  <c r="I15" i="4" s="1"/>
  <c r="I35" i="1"/>
  <c r="I36" i="1" s="1"/>
  <c r="I10" i="3"/>
  <c r="I11" i="3" s="1"/>
  <c r="I137" i="3"/>
  <c r="D13" i="5" s="1"/>
  <c r="H17" i="1"/>
  <c r="H25" i="1"/>
  <c r="H46" i="1"/>
  <c r="H48" i="1"/>
  <c r="H49" i="1" s="1"/>
  <c r="H50" i="1" s="1"/>
  <c r="H51" i="1" s="1"/>
  <c r="C15" i="5"/>
  <c r="J135" i="3"/>
  <c r="J9" i="3" s="1"/>
  <c r="J103" i="3"/>
  <c r="J124" i="3" s="1"/>
  <c r="J102" i="3"/>
  <c r="J89" i="3"/>
  <c r="D15" i="5" s="1"/>
  <c r="K78" i="3"/>
  <c r="K84" i="3"/>
  <c r="K86" i="3" s="1"/>
  <c r="K67" i="3"/>
  <c r="K71" i="3" s="1"/>
  <c r="K68" i="3"/>
  <c r="K72" i="3" s="1"/>
  <c r="K80" i="3" s="1"/>
  <c r="K88" i="3" s="1"/>
  <c r="I45" i="1" l="1"/>
  <c r="I37" i="1"/>
  <c r="I14" i="1"/>
  <c r="I8" i="1"/>
  <c r="C13" i="5"/>
  <c r="E13" i="5" s="1"/>
  <c r="G13" i="5" s="1"/>
  <c r="H26" i="1"/>
  <c r="H28" i="1"/>
  <c r="H29" i="1" s="1"/>
  <c r="E15" i="5"/>
  <c r="G15" i="5" s="1"/>
  <c r="J131" i="3"/>
  <c r="J128" i="3"/>
  <c r="J106" i="3"/>
  <c r="J123" i="3"/>
  <c r="K79" i="3"/>
  <c r="K73" i="3"/>
  <c r="L77" i="3"/>
  <c r="K105" i="3"/>
  <c r="K126" i="3" s="1"/>
  <c r="K133" i="3" s="1"/>
  <c r="K104" i="3"/>
  <c r="K125" i="3" s="1"/>
  <c r="K132" i="3" s="1"/>
  <c r="I20" i="1" l="1"/>
  <c r="I19" i="1"/>
  <c r="I21" i="1"/>
  <c r="I15" i="1"/>
  <c r="I16" i="1" s="1"/>
  <c r="I17" i="1" s="1"/>
  <c r="I22" i="1"/>
  <c r="I11" i="1"/>
  <c r="I10" i="1"/>
  <c r="I48" i="1"/>
  <c r="I46" i="1"/>
  <c r="J130" i="3"/>
  <c r="J127" i="3"/>
  <c r="J129" i="3" s="1"/>
  <c r="H30" i="1"/>
  <c r="D29" i="5"/>
  <c r="I23" i="1"/>
  <c r="I25" i="1" s="1"/>
  <c r="K87" i="3"/>
  <c r="K81" i="3"/>
  <c r="L85" i="3"/>
  <c r="L69" i="3"/>
  <c r="L70" i="3"/>
  <c r="I49" i="1"/>
  <c r="I50" i="1" s="1"/>
  <c r="I51" i="1" s="1"/>
  <c r="J134" i="3" l="1"/>
  <c r="J63" i="4" s="1"/>
  <c r="J65" i="4" s="1"/>
  <c r="J136" i="3"/>
  <c r="H31" i="1"/>
  <c r="C29" i="5"/>
  <c r="E29" i="5" s="1"/>
  <c r="G29" i="5" s="1"/>
  <c r="L76" i="3"/>
  <c r="C18" i="5"/>
  <c r="K135" i="3"/>
  <c r="K103" i="3"/>
  <c r="K124" i="3" s="1"/>
  <c r="K102" i="3"/>
  <c r="K89" i="3"/>
  <c r="D18" i="5" s="1"/>
  <c r="I26" i="1"/>
  <c r="I28" i="1"/>
  <c r="J35" i="1" l="1"/>
  <c r="J36" i="1" s="1"/>
  <c r="J13" i="4"/>
  <c r="J14" i="4" s="1"/>
  <c r="J15" i="4" s="1"/>
  <c r="J137" i="3"/>
  <c r="D16" i="5" s="1"/>
  <c r="J10" i="3"/>
  <c r="J11" i="3" s="1"/>
  <c r="E18" i="5"/>
  <c r="G18" i="5" s="1"/>
  <c r="L78" i="3"/>
  <c r="L84" i="3"/>
  <c r="L86" i="3" s="1"/>
  <c r="L67" i="3"/>
  <c r="L71" i="3" s="1"/>
  <c r="L68" i="3"/>
  <c r="L72" i="3" s="1"/>
  <c r="L80" i="3" s="1"/>
  <c r="L88" i="3" s="1"/>
  <c r="K9" i="3"/>
  <c r="K128" i="3"/>
  <c r="K131" i="3"/>
  <c r="K106" i="3"/>
  <c r="K123" i="3"/>
  <c r="I29" i="1"/>
  <c r="I30" i="1" s="1"/>
  <c r="I31" i="1" s="1"/>
  <c r="J37" i="1" l="1"/>
  <c r="J45" i="1"/>
  <c r="J14" i="1"/>
  <c r="J8" i="1"/>
  <c r="C16" i="5"/>
  <c r="E16" i="5" s="1"/>
  <c r="G16" i="5" s="1"/>
  <c r="L79" i="3"/>
  <c r="L73" i="3"/>
  <c r="L105" i="3"/>
  <c r="L126" i="3" s="1"/>
  <c r="L133" i="3" s="1"/>
  <c r="L104" i="3"/>
  <c r="L125" i="3" s="1"/>
  <c r="L132" i="3" s="1"/>
  <c r="K127" i="3"/>
  <c r="K129" i="3" s="1"/>
  <c r="K130" i="3"/>
  <c r="J46" i="1" l="1"/>
  <c r="J48" i="1"/>
  <c r="J49" i="1" s="1"/>
  <c r="J50" i="1" s="1"/>
  <c r="J51" i="1" s="1"/>
  <c r="J15" i="1"/>
  <c r="J16" i="1" s="1"/>
  <c r="J17" i="1" s="1"/>
  <c r="J19" i="1"/>
  <c r="J20" i="1"/>
  <c r="J21" i="1"/>
  <c r="J22" i="1"/>
  <c r="J10" i="1"/>
  <c r="J11" i="1"/>
  <c r="L87" i="3"/>
  <c r="L81" i="3"/>
  <c r="K136" i="3"/>
  <c r="K134" i="3"/>
  <c r="K63" i="4" s="1"/>
  <c r="K65" i="4" s="1"/>
  <c r="J23" i="1" l="1"/>
  <c r="J25" i="1" s="1"/>
  <c r="C21" i="5"/>
  <c r="L135" i="3"/>
  <c r="L103" i="3"/>
  <c r="L124" i="3" s="1"/>
  <c r="L102" i="3"/>
  <c r="L89" i="3"/>
  <c r="D21" i="5" s="1"/>
  <c r="K137" i="3"/>
  <c r="D19" i="5" s="1"/>
  <c r="K10" i="3"/>
  <c r="K11" i="3" s="1"/>
  <c r="K35" i="1"/>
  <c r="K36" i="1" s="1"/>
  <c r="K13" i="4"/>
  <c r="K14" i="4" s="1"/>
  <c r="K15" i="4" s="1"/>
  <c r="J28" i="1" l="1"/>
  <c r="J29" i="1" s="1"/>
  <c r="J30" i="1" s="1"/>
  <c r="J31" i="1" s="1"/>
  <c r="J26" i="1"/>
  <c r="E21" i="5"/>
  <c r="G21" i="5" s="1"/>
  <c r="L9" i="3"/>
  <c r="L128" i="3"/>
  <c r="L131" i="3"/>
  <c r="L106" i="3"/>
  <c r="L123" i="3"/>
  <c r="C19" i="5"/>
  <c r="E19" i="5" s="1"/>
  <c r="G19" i="5" s="1"/>
  <c r="K14" i="1"/>
  <c r="K8" i="1"/>
  <c r="K37" i="1"/>
  <c r="K45" i="1"/>
  <c r="L127" i="3" l="1"/>
  <c r="L129" i="3" s="1"/>
  <c r="L130" i="3"/>
  <c r="K15" i="1"/>
  <c r="K16" i="1" s="1"/>
  <c r="K19" i="1"/>
  <c r="K20" i="1"/>
  <c r="K21" i="1"/>
  <c r="K22" i="1"/>
  <c r="K10" i="1"/>
  <c r="K11" i="1"/>
  <c r="K46" i="1"/>
  <c r="K48" i="1"/>
  <c r="K23" i="1" l="1"/>
  <c r="K25" i="1" s="1"/>
  <c r="L134" i="3"/>
  <c r="L63" i="4" s="1"/>
  <c r="L65" i="4" s="1"/>
  <c r="L136" i="3"/>
  <c r="K49" i="1"/>
  <c r="K50" i="1" s="1"/>
  <c r="K51" i="1" s="1"/>
  <c r="K17" i="1"/>
  <c r="L35" i="1" l="1"/>
  <c r="L36" i="1" s="1"/>
  <c r="L13" i="4"/>
  <c r="L14" i="4" s="1"/>
  <c r="L15" i="4" s="1"/>
  <c r="L137" i="3"/>
  <c r="D22" i="5" s="1"/>
  <c r="L10" i="3"/>
  <c r="L11" i="3" s="1"/>
  <c r="K26" i="1"/>
  <c r="K28" i="1"/>
  <c r="L45" i="1" l="1"/>
  <c r="L37" i="1"/>
  <c r="L14" i="1"/>
  <c r="L8" i="1"/>
  <c r="C22" i="5"/>
  <c r="E22" i="5" s="1"/>
  <c r="G22" i="5" s="1"/>
  <c r="G31" i="5" s="1"/>
  <c r="K29" i="1"/>
  <c r="K30" i="1" s="1"/>
  <c r="K31" i="1" s="1"/>
  <c r="L46" i="1" l="1"/>
  <c r="L48" i="1"/>
  <c r="L15" i="1"/>
  <c r="L16" i="1" s="1"/>
  <c r="L17" i="1" s="1"/>
  <c r="L19" i="1"/>
  <c r="L20" i="1"/>
  <c r="L21" i="1"/>
  <c r="L22" i="1"/>
  <c r="L10" i="1"/>
  <c r="L11" i="1"/>
  <c r="L23" i="1" l="1"/>
  <c r="L25" i="1" s="1"/>
  <c r="L49" i="1"/>
  <c r="L50" i="1" s="1"/>
  <c r="L51" i="1" s="1"/>
  <c r="L28" i="1" l="1"/>
  <c r="L26" i="1"/>
  <c r="L29" i="1" l="1"/>
  <c r="L30" i="1" s="1"/>
  <c r="L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9" authorId="0" shapeId="0" xr:uid="{00000000-0006-0000-0200-000001000000}">
      <text>
        <r>
          <rPr>
            <sz val="10"/>
            <rFont val="Arial"/>
            <family val="2"/>
          </rPr>
          <t>Capacity per intern = base capacity + (avg salary x this factor). Default 0 = salary has no effect on capacity, so capacity stays at the base value. Set &gt;0 to model better-paid interns reaching more people.</t>
        </r>
      </text>
    </comment>
    <comment ref="A22" authorId="0" shapeId="0" xr:uid="{00000000-0006-0000-0200-000002000000}">
      <text>
        <r>
          <rPr>
            <sz val="10"/>
            <rFont val="Arial"/>
            <family val="2"/>
          </rPr>
          <t>Direct spend on sending infrastructure, purchased contact lists, deliverability tooling, etc. - buys reach independent of headcount. $0 = no incremental effect (base still applies).</t>
        </r>
      </text>
    </comment>
    <comment ref="A23" authorId="0" shapeId="0" xr:uid="{00000000-0006-0000-0200-000003000000}">
      <text>
        <r>
          <rPr>
            <sz val="10"/>
            <rFont val="Arial"/>
            <family val="2"/>
          </rPr>
          <t>Baseline contacts from free/existing infra (e.g. mass email tooling) before any incremental spend. Incremental infra spend adds on top of this via the spend conversion factor.</t>
        </r>
      </text>
    </comment>
    <comment ref="A62" authorId="0" shapeId="0" xr:uid="{00000000-0006-0000-0200-000004000000}">
      <text>
        <r>
          <rPr>
            <sz val="10"/>
            <rFont val="Arial"/>
            <family val="2"/>
          </rPr>
          <t>Scales all 4 matrix correlations uniformly. At 1.0x (default), correlations run at their base rates unchanged. At 0.1x, an existing premium creator who'd normally bring in 1.0 new premium creator instead brings in 0.1. At 2.0x, doubled.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2" authorId="0" shapeId="0" xr:uid="{00000000-0006-0000-0300-000001000000}">
      <text>
        <r>
          <rPr>
            <sz val="10"/>
            <rFont val="Arial"/>
            <family val="2"/>
          </rPr>
          <t>Stored as an annual figure to match the other 4 roles. $24,000/yr = $2,000/month, the same rate this used to be set at inside Revenue_B.</t>
        </r>
      </text>
    </comment>
    <comment ref="A46" authorId="0" shapeId="0" xr:uid="{00000000-0006-0000-0300-000002000000}">
      <text>
        <r>
          <rPr>
            <sz val="10"/>
            <rFont val="Arial"/>
            <family val="2"/>
          </rPr>
          <t>Drives Revenue_B's Engine 1 (Reach) - purchased sending infrastructure, contact lists, deliverability tooling. Revenue_B pulls this figure directly.</t>
        </r>
      </text>
    </comment>
    <comment ref="A47" authorId="0" shapeId="0" xr:uid="{00000000-0006-0000-0300-000003000000}">
      <text>
        <r>
          <rPr>
            <sz val="10"/>
            <rFont val="Arial"/>
            <family val="2"/>
          </rPr>
          <t>Drives Revenue_B's Engine 3 (CPA) referral bonus creators. Revenue_B pulls this figure directly.</t>
        </r>
      </text>
    </comment>
    <comment ref="A48" authorId="0" shapeId="0" xr:uid="{00000000-0006-0000-0300-000004000000}">
      <text>
        <r>
          <rPr>
            <sz val="10"/>
            <rFont val="Arial"/>
            <family val="2"/>
          </rPr>
          <t>Drives Revenue_B's Engine 3 (CPA) influencer-funded creators. Revenue_B pulls this figure directly.</t>
        </r>
      </text>
    </comment>
    <comment ref="A49" authorId="0" shapeId="0" xr:uid="{00000000-0006-0000-0300-000005000000}">
      <text>
        <r>
          <rPr>
            <sz val="10"/>
            <rFont val="Arial"/>
            <family val="2"/>
          </rPr>
          <t>Paid Marketing and Creator Partnerships/Promotions were removed from this section - creator-acquisition spend (reach, conversion, referral bonus, influencer funding) is now tracked in full detail in Revenue_B's Engines 1-3, to avoid double-counting.</t>
        </r>
      </text>
    </comment>
    <comment ref="A55" authorId="0" shapeId="0" xr:uid="{00000000-0006-0000-0300-000006000000}">
      <text>
        <r>
          <rPr>
            <sz val="10"/>
            <rFont val="Arial"/>
            <family val="2"/>
          </rPr>
          <t>2023A-2025A actuals ($500/yr) folded in from the old 'Corporate Tax Filing' supporting-detail line, which has been retired as part of collapsing the SaaS/Tools detail.</t>
        </r>
      </text>
    </comment>
    <comment ref="A63" authorId="0" shapeId="0" xr:uid="{00000000-0006-0000-0300-000007000000}">
      <text>
        <r>
          <rPr>
            <sz val="10"/>
            <rFont val="Arial"/>
            <family val="2"/>
          </rPr>
          <t>Rate x Revenue_B's Total GMV for the matching year. Rate starts at 0% pending a real payment-processing rate input.</t>
        </r>
      </text>
    </comment>
  </commentList>
</comments>
</file>

<file path=xl/sharedStrings.xml><?xml version="1.0" encoding="utf-8"?>
<sst xmlns="http://schemas.openxmlformats.org/spreadsheetml/2006/main" count="539" uniqueCount="391">
  <si>
    <t>Metric</t>
  </si>
  <si>
    <t>2023A</t>
  </si>
  <si>
    <t>2024A</t>
  </si>
  <si>
    <t>2025A</t>
  </si>
  <si>
    <t>2026 YTD</t>
  </si>
  <si>
    <t>2026F</t>
  </si>
  <si>
    <t>2027F</t>
  </si>
  <si>
    <t>2028F</t>
  </si>
  <si>
    <t>2029F</t>
  </si>
  <si>
    <t>2030F</t>
  </si>
  <si>
    <t>2031F</t>
  </si>
  <si>
    <t>Period Type</t>
  </si>
  <si>
    <t>Actual</t>
  </si>
  <si>
    <t>YTD Actual</t>
  </si>
  <si>
    <t>Forecast</t>
  </si>
  <si>
    <t>Months in period</t>
  </si>
  <si>
    <t>Hardcoded input</t>
  </si>
  <si>
    <t>Blue font</t>
  </si>
  <si>
    <t>Same-sheet formula</t>
  </si>
  <si>
    <t>Black font</t>
  </si>
  <si>
    <t>Summary Income Statement</t>
  </si>
  <si>
    <t>Cross-sheet link</t>
  </si>
  <si>
    <t>Green font</t>
  </si>
  <si>
    <t>Attention / review</t>
  </si>
  <si>
    <t>Yellow fill</t>
  </si>
  <si>
    <t>Revenue Scenario Comparison</t>
  </si>
  <si>
    <t>Bottom-Up / YAU Platform Revenue</t>
  </si>
  <si>
    <t>Top-Down Platform Revenue</t>
  </si>
  <si>
    <t>Top-Down Less Bottom-Up</t>
  </si>
  <si>
    <t>Top-Down / Bottom-Up</t>
  </si>
  <si>
    <t>Bottom-Up / YAU Case</t>
  </si>
  <si>
    <t>Platform Revenue</t>
  </si>
  <si>
    <t>Transaction / Platform Costs</t>
  </si>
  <si>
    <t>Gross Profit</t>
  </si>
  <si>
    <t>Gross Margin %</t>
  </si>
  <si>
    <t>Personnel Expense</t>
  </si>
  <si>
    <t>Technology &amp; Infrastructure</t>
  </si>
  <si>
    <t>Sales &amp; Marketing</t>
  </si>
  <si>
    <t>General &amp; Administrative</t>
  </si>
  <si>
    <t>Total Operating Expenses</t>
  </si>
  <si>
    <t>Operating Income</t>
  </si>
  <si>
    <t>Operating Margin %</t>
  </si>
  <si>
    <t>Pre-Tax Income</t>
  </si>
  <si>
    <t>Taxes</t>
  </si>
  <si>
    <t>Net Income</t>
  </si>
  <si>
    <t>Net Margin %</t>
  </si>
  <si>
    <t>Top-Down Case</t>
  </si>
  <si>
    <t>Federal Tax Rate</t>
  </si>
  <si>
    <t>State &amp; Local Tax Rate</t>
  </si>
  <si>
    <t>Total Tax Rate</t>
  </si>
  <si>
    <t>Tax Treatment</t>
  </si>
  <si>
    <t>Methodology / Notes</t>
  </si>
  <si>
    <t>Revenue_B and Revenue_T are alternative revenue scenarios and are not added together.</t>
  </si>
  <si>
    <t>The Bottom-Up case uses Revenue_B platform revenue and the shared Expenses_Y forecast.</t>
  </si>
  <si>
    <t>The Top-Down case begins in 2027F. Revenue_T contains a 2026 annual base revenue with no actual/forecast split, while Revenue_B and Expenses_Y now split 2026 into a YTD actual (Jan-Aug) and a 2026F forecast tail (Sep-Dec), so a 2026 top-down income statement would not be period-comparable.</t>
  </si>
  <si>
    <t>Transaction / Platform Costs are treated as cost of revenue for presentation. Personnel, Technology &amp; Infrastructure, Sales &amp; Marketing, and G&amp;A are treated as operating expenses.</t>
  </si>
  <si>
    <t>Pre-tax income currently equals operating income because interest and other non-operating items are not modeled. Taxes are applied only to positive pre-tax income; no NOL carryforward is modeled.</t>
  </si>
  <si>
    <t>2026A</t>
  </si>
  <si>
    <t>Top-Down Revenue Model</t>
  </si>
  <si>
    <t>Annual Top-Down Revenue Forecast</t>
  </si>
  <si>
    <t>Global Market ($bn)</t>
  </si>
  <si>
    <t>Market CAGR</t>
  </si>
  <si>
    <t>-</t>
  </si>
  <si>
    <t>Kahana-Relevant Segment %</t>
  </si>
  <si>
    <t>Kahana-Relevant Global Market ($mm)</t>
  </si>
  <si>
    <t>Kahana Market Share</t>
  </si>
  <si>
    <t>Kahana Platform Revenue ($)</t>
  </si>
  <si>
    <t>YoY Platform Revenue Growth %</t>
  </si>
  <si>
    <t>Market Size Build &amp; Key Inputs</t>
  </si>
  <si>
    <t>2026 Global Market ($bn)</t>
  </si>
  <si>
    <t>2026 Kahana-Relevant Global Market ($mm)</t>
  </si>
  <si>
    <t>2026 Kahana Actual Platform Revenue ($mm)</t>
  </si>
  <si>
    <t>2026 Implied Kahana Market Share</t>
  </si>
  <si>
    <t>Target Kahana Market Share at Forecast End</t>
  </si>
  <si>
    <t>Required Market Share CAGR</t>
  </si>
  <si>
    <t>Forecast Horizon (Years)</t>
  </si>
  <si>
    <t>Forecast End Year</t>
  </si>
  <si>
    <t>Methodology / Sources</t>
  </si>
  <si>
    <t>2026 Kahana-Relevant Global Market = 2026 Global Market × Kahana-Relevant Segment %.</t>
  </si>
  <si>
    <t>Kahana competes globally in this top-down model. No U.S. market-share assumption is used.</t>
  </si>
  <si>
    <t>Kahana Market Share is measured within the Kahana-relevant global market. The selected target share is reached in the dynamically selected forecast end year.</t>
  </si>
  <si>
    <t>Market CAGR guideline: 22.3% from The Business Research Company Creatorplaces market research; used as a growth proxy and selectable assumption.</t>
  </si>
  <si>
    <t>https://www.thebusinessresearchcompany.com/report/creatorplaces-global-market-report</t>
  </si>
  <si>
    <t>Creator Marketing Campaign Pro Forma</t>
  </si>
  <si>
    <t>REVENUE SUMMARY</t>
  </si>
  <si>
    <t>Revenue Source</t>
  </si>
  <si>
    <t>Subscription revenue</t>
  </si>
  <si>
    <t>Transaction-fee revenue</t>
  </si>
  <si>
    <t>Total company revenue</t>
  </si>
  <si>
    <t>PART A: CREATOR ACQUISITION ENGINE</t>
  </si>
  <si>
    <t>ENGINE 1: REACH  -&gt;  Total contacted</t>
  </si>
  <si>
    <t>Number of interns / BDRs (from Expenses_Y)</t>
  </si>
  <si>
    <t>Intern net hiring rate (from Expenses_Y, display only)</t>
  </si>
  <si>
    <t>Average salary per intern ($/year, from Expenses_Y)</t>
  </si>
  <si>
    <t>Capacity per intern per month (base)</t>
  </si>
  <si>
    <t>Intern incentive factor (extra contacts per $ of annual salary)</t>
  </si>
  <si>
    <t>Capacity per intern per month (effective)</t>
  </si>
  <si>
    <t>Contacts from headcount</t>
  </si>
  <si>
    <t>Outreach infra spend ($/year, from Expenses_Y)</t>
  </si>
  <si>
    <t>Contacts from infra spend (base)</t>
  </si>
  <si>
    <t>Spend conversion factor (extra contacts per $ spent)</t>
  </si>
  <si>
    <t>Contacts from infra spend</t>
  </si>
  <si>
    <t>Total contacted</t>
  </si>
  <si>
    <t>ENGINE 2: CONVERSION  -&gt;  Effective conversion rate</t>
  </si>
  <si>
    <t>Base conversion rate (input; carried forward)</t>
  </si>
  <si>
    <t>CEO cash compensation (from Expenses_Y)</t>
  </si>
  <si>
    <t>CEO % time on personal touch outreach</t>
  </si>
  <si>
    <t>Personal touch spend (annual)</t>
  </si>
  <si>
    <t>Personal touch max lift (cap)</t>
  </si>
  <si>
    <t>Personal touch half-saturation spend ($)</t>
  </si>
  <si>
    <t>Personal touch lift (diminishing returns)</t>
  </si>
  <si>
    <t>PM and Engineering cash compensation (from Expenses_Y)</t>
  </si>
  <si>
    <t>PM/eng % time on platform improvements</t>
  </si>
  <si>
    <t>Platform improvement spend (annual)</t>
  </si>
  <si>
    <t>Platform max lift (cap)</t>
  </si>
  <si>
    <t>Platform half-saturation spend ($)</t>
  </si>
  <si>
    <t>Platform lift (diminishing returns)</t>
  </si>
  <si>
    <t>Effective conversion rate (capped 100%)</t>
  </si>
  <si>
    <t>New creators (funnel = contacted x conversion)</t>
  </si>
  <si>
    <t>ENGINE 3: CPA  -&gt;  New creators, direct (no funnel)</t>
  </si>
  <si>
    <t>Referral bonus spend ($/year, from Expenses_Y)</t>
  </si>
  <si>
    <t>Referral factor (creators per $ of bonus spend)</t>
  </si>
  <si>
    <t>New creators from referral bonus</t>
  </si>
  <si>
    <t>Influencer amount funded ($, from Expenses_Y)</t>
  </si>
  <si>
    <t>Influencer factor - creators onboarded per $ funded</t>
  </si>
  <si>
    <t>New creators from influencer funding</t>
  </si>
  <si>
    <t>New creators (CPA total)</t>
  </si>
  <si>
    <t>TOTAL MARKETING-LED ACQUISITION</t>
  </si>
  <si>
    <t>Total new creators from marketing campaigns</t>
  </si>
  <si>
    <t>Premium creators as % of new marketing-led creators</t>
  </si>
  <si>
    <t>New premium creators from marketing-led acquisition</t>
  </si>
  <si>
    <t>New normal creators from marketing-led acquisition</t>
  </si>
  <si>
    <t>NETWORK EFFECTS (ORGANIC, UNPAID)</t>
  </si>
  <si>
    <t>Referral effect decay rate (per year, vs 2027 base)</t>
  </si>
  <si>
    <t>Network influence multiplier (0.1 - 2.0, applies to all 4 correlations)</t>
  </si>
  <si>
    <t>Premium creator effect on other premium creators</t>
  </si>
  <si>
    <t>Premium creator effect on normal creators</t>
  </si>
  <si>
    <t>Normal creator effect on other premium creators</t>
  </si>
  <si>
    <t>Normal creator effect on normal creators</t>
  </si>
  <si>
    <t>New premium creators from premium creators</t>
  </si>
  <si>
    <t>New normal creators from premium creators</t>
  </si>
  <si>
    <t>New premium creators from normal creators</t>
  </si>
  <si>
    <t>New normal creators from normal creators</t>
  </si>
  <si>
    <t>Total new premium creators from network effects</t>
  </si>
  <si>
    <t>Total new normal creators from network effects</t>
  </si>
  <si>
    <t>Total new creators from network effects</t>
  </si>
  <si>
    <t>CREATOR ROLL-FORWARD BY TYPE</t>
  </si>
  <si>
    <t>Beginning premium creators</t>
  </si>
  <si>
    <t>Beginning normal creators</t>
  </si>
  <si>
    <t>Beginning total creators</t>
  </si>
  <si>
    <t>New premium creators (marketing-led + network)</t>
  </si>
  <si>
    <t>New normal creators (marketing-led + network)</t>
  </si>
  <si>
    <t>Total new creators</t>
  </si>
  <si>
    <t>Premium churn rate (annual, base)</t>
  </si>
  <si>
    <t>Normal churn rate (annual, base)</t>
  </si>
  <si>
    <t>Less: Attrited premium creators</t>
  </si>
  <si>
    <t>Less: Attrited normal creators</t>
  </si>
  <si>
    <t>Total attrited creators</t>
  </si>
  <si>
    <t>Ending premium creators</t>
  </si>
  <si>
    <t>Ending normal creators</t>
  </si>
  <si>
    <t>Ending total creators</t>
  </si>
  <si>
    <t>SUBSCRIPTION &amp; HUB ASSUMPTIONS</t>
  </si>
  <si>
    <t>Premium subscription fee per month</t>
  </si>
  <si>
    <t>Normal subscription fee per month</t>
  </si>
  <si>
    <t>Average hubs per premium creator</t>
  </si>
  <si>
    <t>Average hubs per normal creator</t>
  </si>
  <si>
    <t>Premium paid hub %</t>
  </si>
  <si>
    <t>Premium free hub %</t>
  </si>
  <si>
    <t>Normal paid hub %</t>
  </si>
  <si>
    <t>Normal free hub %</t>
  </si>
  <si>
    <t>HUB SEGMENTATION</t>
  </si>
  <si>
    <t>Premium paid hubs</t>
  </si>
  <si>
    <t>Premium free hubs</t>
  </si>
  <si>
    <t>Normal paid hubs</t>
  </si>
  <si>
    <t>Normal free hubs</t>
  </si>
  <si>
    <t>Total hubs</t>
  </si>
  <si>
    <t>PURCHASE, VALUE &amp; TAKE-RATE ASSUMPTIONS</t>
  </si>
  <si>
    <t>Premium paid - annual purchases per hub</t>
  </si>
  <si>
    <t>Premium free - annual acquisitions per hub</t>
  </si>
  <si>
    <t>Normal paid - annual purchases per hub</t>
  </si>
  <si>
    <t>Normal free - annual acquisitions per hub</t>
  </si>
  <si>
    <t>Premium paid - value per purchase</t>
  </si>
  <si>
    <t>Premium free - value per acquisition</t>
  </si>
  <si>
    <t>Normal paid - value per purchase</t>
  </si>
  <si>
    <t>Normal free - value per acquisition</t>
  </si>
  <si>
    <t>Premium paid - platform take rate</t>
  </si>
  <si>
    <t>Premium free - platform take rate</t>
  </si>
  <si>
    <t>Normal paid - platform take rate</t>
  </si>
  <si>
    <t>Normal free - platform take rate</t>
  </si>
  <si>
    <t>HUB ACTIVITY, GMV &amp; TRANSACTION REVENUE</t>
  </si>
  <si>
    <t>Premium paid - total purchases</t>
  </si>
  <si>
    <t>Premium free - total acquisitions</t>
  </si>
  <si>
    <t>Normal paid - total purchases</t>
  </si>
  <si>
    <t>Normal free - total acquisitions</t>
  </si>
  <si>
    <t>Total paid purchases</t>
  </si>
  <si>
    <t>Total free acquisitions</t>
  </si>
  <si>
    <t>Total transactions / acquisitions</t>
  </si>
  <si>
    <t>Premium paid - gross purchase value</t>
  </si>
  <si>
    <t>Premium free - gross purchase value</t>
  </si>
  <si>
    <t>Normal paid - gross purchase value</t>
  </si>
  <si>
    <t>Normal free - gross purchase value</t>
  </si>
  <si>
    <t>Total gross purchase value (GMV)</t>
  </si>
  <si>
    <t>MARKETING SPEND &amp; CAC</t>
  </si>
  <si>
    <t>Engine 1 spend: Reach (period salary + infra)</t>
  </si>
  <si>
    <t>Engine 2 spend: Conversion (personal touch + platform)</t>
  </si>
  <si>
    <t>Engine 3 spend: CPA (referral + influencer)</t>
  </si>
  <si>
    <t>Total marketing spend</t>
  </si>
  <si>
    <t>Blended CAC (spend / marketing-led new creators)</t>
  </si>
  <si>
    <t>Model notes: 2023A-2025A are historical actuals; only top-line revenue and GMV were carried over. 2026 YTD covers eight months, 2026F covers the four-month Sep-Dec forecast tail, and 2027-2031 cover twelve months. Acquisition activity, churn, hub/GMV calculations, and personnel cash compensation use the months shown in each period column. Base conversion is a direct input in G29 and is carried forward through 2031. Premium and normal churn are direct inputs in G82:G83 and are carried forward through 2031; no conversion or churn sliders are used. Referral/network effects use 2027 input rates and decay 15% per year by default. Engine 1 contacts equal intern/BDR FTE x monthly capacity x months in period plus contacts generated by infrastructure spending. Engine 2 conversion equals the base rate plus personal-touch and platform-improvement lifts, capped at 100%. Engine 3 adds direct CPA acquisition. Yellow cells with blue font are inputs; green font denotes formulas; carry-forward formulas repeat the prior year's assumption.</t>
  </si>
  <si>
    <t>Expense Forecast</t>
  </si>
  <si>
    <t>Personnel, technology, sales &amp; marketing, G&amp;A, and transaction costs. Decoupled from Seed Raise Plan - headcount and compensation are direct inputs.</t>
  </si>
  <si>
    <t>Months in Period</t>
  </si>
  <si>
    <t>EXPENSE SUMMARY</t>
  </si>
  <si>
    <t>Total Expenses</t>
  </si>
  <si>
    <t>YoY Expense Growth %</t>
  </si>
  <si>
    <t>PERSONNEL</t>
  </si>
  <si>
    <t>CEO - Average FTE</t>
  </si>
  <si>
    <t>CEO - Cash Compensation / FTE ($)</t>
  </si>
  <si>
    <t>CEO Compensation</t>
  </si>
  <si>
    <t>Engineering - Average FTE</t>
  </si>
  <si>
    <t>Engineering - Cash Compensation / FTE ($)</t>
  </si>
  <si>
    <t>Engineering Compensation</t>
  </si>
  <si>
    <t>Product - Average FTE</t>
  </si>
  <si>
    <t>Product - Cash Compensation / FTE ($)</t>
  </si>
  <si>
    <t>Product Compensation</t>
  </si>
  <si>
    <t>Chief of Staff / Operations - Average FTE</t>
  </si>
  <si>
    <t>Chief of Staff / Operations - Cash Compensation / FTE ($)</t>
  </si>
  <si>
    <t>Chief of Staff / Operations Compensation</t>
  </si>
  <si>
    <t>Interns / BDR - Average FTE</t>
  </si>
  <si>
    <t>Interns / BDR - Hiring Rate (after attrition)</t>
  </si>
  <si>
    <t>Interns / BDR - Cash Compensation / FTE ($/year)</t>
  </si>
  <si>
    <t>Interns / BDR Compensation</t>
  </si>
  <si>
    <t>Total Cash Compensation</t>
  </si>
  <si>
    <t>Payroll Taxes &amp; Benefits %</t>
  </si>
  <si>
    <t>Payroll Taxes &amp; Benefits</t>
  </si>
  <si>
    <t>Total Personnel Expense</t>
  </si>
  <si>
    <t>TECHNOLOGY &amp; INFRASTRUCTURE</t>
  </si>
  <si>
    <t>Additional Cloud &amp; Hosting</t>
  </si>
  <si>
    <t>Software &amp; Tools</t>
  </si>
  <si>
    <t>Other Technology</t>
  </si>
  <si>
    <t>Total Technology &amp; Infrastructure</t>
  </si>
  <si>
    <t>SALES &amp; MARKETING</t>
  </si>
  <si>
    <t>Outreach Infra Spend</t>
  </si>
  <si>
    <t>Referral Bonus Spend</t>
  </si>
  <si>
    <t>Influencer Funding</t>
  </si>
  <si>
    <t>Brand / Content / Events</t>
  </si>
  <si>
    <t>Other Sales &amp; Marketing</t>
  </si>
  <si>
    <t>Total Sales &amp; Marketing</t>
  </si>
  <si>
    <t>GENERAL &amp; ADMINISTRATIVE</t>
  </si>
  <si>
    <t>Legal</t>
  </si>
  <si>
    <t>Accounting &amp; Tax</t>
  </si>
  <si>
    <t>Insurance</t>
  </si>
  <si>
    <t>Corporate / Banking Fees</t>
  </si>
  <si>
    <t>Other G&amp;A</t>
  </si>
  <si>
    <t>Total G&amp;A</t>
  </si>
  <si>
    <t>TRANSACTION / PLATFORM COSTS</t>
  </si>
  <si>
    <t>Payment Processing Rate (% of GMV)</t>
  </si>
  <si>
    <t>Payment Processing &amp; Transaction Costs</t>
  </si>
  <si>
    <t>Other Variable Platform Costs</t>
  </si>
  <si>
    <t>Total Transaction / Platform Costs</t>
  </si>
  <si>
    <t>SUPPORTING DETAIL - SOFTWARE &amp; TOOLS (HISTORICAL)</t>
  </si>
  <si>
    <t>GitHub</t>
  </si>
  <si>
    <t>Cursor</t>
  </si>
  <si>
    <t>Heroku</t>
  </si>
  <si>
    <t>Google Workspace</t>
  </si>
  <si>
    <t>Google Cloud</t>
  </si>
  <si>
    <t>Resend</t>
  </si>
  <si>
    <t>Domain Renewal</t>
  </si>
  <si>
    <t>Total Software &amp; Tools Detail</t>
  </si>
  <si>
    <t>Model notes: this tab is decoupled from Seed Raise Plan; headcount and compensation assumptions are entered directly. Forecast compensation equals average FTE x annual cash compensation per FTE x months in period / 12. Each role's first nonzero year is treated as its hiring year and its headcount and compensation per FTE are carried forward thereafter unless overridden. Intern/BDR headcount grows using the stated hiring rate. Sales &amp; Marketing excludes creator-acquisition spending tracked in Revenue_B to avoid double-counting. Transaction costs equal Revenue_B GMV x the payment-processing rate, currently 0% pending a validated assumption. Forecast Software &amp; Tools remains a direct input.</t>
  </si>
  <si>
    <t>Model Checks</t>
  </si>
  <si>
    <t>Check</t>
  </si>
  <si>
    <t>Year</t>
  </si>
  <si>
    <t>Expected</t>
  </si>
  <si>
    <t>Difference</t>
  </si>
  <si>
    <t>Tolerance</t>
  </si>
  <si>
    <t>Status</t>
  </si>
  <si>
    <t>Base conversion rate is consistent across forecast years</t>
  </si>
  <si>
    <t>All forecast years</t>
  </si>
  <si>
    <t>Forecast churn rates are within 0%-100%</t>
  </si>
  <si>
    <t>2026F creator types tie to ending total</t>
  </si>
  <si>
    <t>2026F revenue summary ties to detail</t>
  </si>
  <si>
    <t>2026F marketing spend total ties</t>
  </si>
  <si>
    <t>2027F creator types tie to ending total</t>
  </si>
  <si>
    <t>2027F revenue summary ties to detail</t>
  </si>
  <si>
    <t>2027F marketing spend total ties</t>
  </si>
  <si>
    <t>2028F creator types tie to ending total</t>
  </si>
  <si>
    <t>2028F revenue summary ties to detail</t>
  </si>
  <si>
    <t>2028F marketing spend total ties</t>
  </si>
  <si>
    <t>2029F creator types tie to ending total</t>
  </si>
  <si>
    <t>2029F revenue summary ties to detail</t>
  </si>
  <si>
    <t>2029F marketing spend total ties</t>
  </si>
  <si>
    <t>2030F creator types tie to ending total</t>
  </si>
  <si>
    <t>2030F revenue summary ties to detail</t>
  </si>
  <si>
    <t>2030F marketing spend total ties</t>
  </si>
  <si>
    <t>2031F creator types tie to ending total</t>
  </si>
  <si>
    <t>2031F revenue summary ties to detail</t>
  </si>
  <si>
    <t>2031F marketing spend total ties</t>
  </si>
  <si>
    <t>Summary IS Bottom-Up ties to Revenue_B (2027F)</t>
  </si>
  <si>
    <t>Summary IS Bottom-Up Personnel ties to Expenses_Y (2027F)</t>
  </si>
  <si>
    <t>Summary IS Bottom-Up Transaction Costs ties to Expenses_Y (2027F)</t>
  </si>
  <si>
    <t>Expenses_Y transaction costs tie to Revenue_B GMV x rate (2027F)</t>
  </si>
  <si>
    <t>Expenses_Y Total Expenses ties to category sum (2027F)</t>
  </si>
  <si>
    <t>Summary IS Net Income = Pre-Tax minus Taxes, Bottom-Up (2027F)</t>
  </si>
  <si>
    <t>MODEL STATUS</t>
  </si>
  <si>
    <t>Comparable Platform Financial Benchmarks</t>
  </si>
  <si>
    <t>Platform/company revenue unless ARR or GMV is explicitly labeled. Private-company figures may be estimates; use the Data Quality column when benchmarking Kahana.</t>
  </si>
  <si>
    <t>Platform / Scale</t>
  </si>
  <si>
    <t>Latest Revenue / ARR</t>
  </si>
  <si>
    <t>Cost / Profitability</t>
  </si>
  <si>
    <t>Data Quality</t>
  </si>
  <si>
    <t>Source URL(s)</t>
  </si>
  <si>
    <t>Stan Store
~70K creators; ~25-person team (2025)</t>
  </si>
  <si>
    <t>$25M revenue (2024)
~$41M ARR (2026)</t>
  </si>
  <si>
    <t>Profitable since 2022 seed round; detailed P&amp;L not public</t>
  </si>
  <si>
    <t>High / Medium</t>
  </si>
  <si>
    <t>https://www.forbes.com/sites/victoriafeng/2025/08/12/this-startup-helps-creators-sell-classes-coaching-and-more-to-their-fans/
https://www.businessinsider.com/vibe-coded-7-figure-tool-startup-4-steps-followed-2026-7</t>
  </si>
  <si>
    <t>Beacons.ai
Private creator platform; estimate-only financial data</t>
  </si>
  <si>
    <t>~$10.8M revenue
2024 estimate</t>
  </si>
  <si>
    <t>No reliable public cost / profitability data located</t>
  </si>
  <si>
    <t>Low</t>
  </si>
  <si>
    <t>https://getlatka.com/companies/beacons.ai</t>
  </si>
  <si>
    <t>Kajabi
&gt;250 employees; &gt;$11B creator revenue powered</t>
  </si>
  <si>
    <t>Close to $200M annual revenue
2026 company / investor commentary</t>
  </si>
  <si>
    <t>Historically bootstrapped and profitable; detailed current P&amp;L not public</t>
  </si>
  <si>
    <t>https://www.spectrumequity.com/insights/partners-in-conversation-powering-creators-building-for-the-long-game/</t>
  </si>
  <si>
    <t>Linktree
70M+ users; broader link-in-bio platform</t>
  </si>
  <si>
    <t>~$55.5M revenue
2024 estimate</t>
  </si>
  <si>
    <t>No reliable standalone public cost P&amp;L located</t>
  </si>
  <si>
    <t>Medium / Low</t>
  </si>
  <si>
    <t>https://sacra.com/c/linktree/</t>
  </si>
  <si>
    <t>Gumroad
SEC-filed creator-commerce financials</t>
  </si>
  <si>
    <t>$17.8M revenue
2025 actual</t>
  </si>
  <si>
    <t>$6.1M COGS; $3.8M net income</t>
  </si>
  <si>
    <t>High</t>
  </si>
  <si>
    <t>https://www.sec.gov/Archives/edgar/data/1532978/0001532978-26-000003-index.htm</t>
  </si>
  <si>
    <t>Shopify
$378.4B GMV; much broader commerce platform</t>
  </si>
  <si>
    <t>$11.6B revenue
2025 actual</t>
  </si>
  <si>
    <t>$6.0B COGS; $4.1B OpEx; $1.47B operating income</t>
  </si>
  <si>
    <t>https://www.sec.gov/Archives/edgar/data/1594805/000159480526000007/shop-20251231.htm</t>
  </si>
  <si>
    <t>Flodesk
50 FTE and 80K paying customers at May-2024 interview</t>
  </si>
  <si>
    <t>&gt;$36M ARR
2025</t>
  </si>
  <si>
    <t>Profitable; paid ads were ~$700K/quarter in May-2024 founder interview</t>
  </si>
  <si>
    <t>https://flodesk.com/blog/a-milestone-year-made-together/
https://getlatka.com/companies/flodesk/interviews/flodesk-rebecca-shostak-2024</t>
  </si>
  <si>
    <t>Bio.Site
Squarespace product; no standalone P&amp;L</t>
  </si>
  <si>
    <t>Not separately disclosed</t>
  </si>
  <si>
    <t>https://www.squarespace.com/marketing/biosite</t>
  </si>
  <si>
    <t>Podia
Creator-focused all-in-one commerce / content platform</t>
  </si>
  <si>
    <t>Not publicly disclosed</t>
  </si>
  <si>
    <t>Company states it is profitable and independent</t>
  </si>
  <si>
    <t>https://www.podia.com/about</t>
  </si>
  <si>
    <t>Teachable
Owned by Hotmart; 200K+ creators across Hotmart + Teachable (2024)</t>
  </si>
  <si>
    <t>Standalone revenue not disclosed
$10B+ cumulative GMV across Hotmart + Teachable</t>
  </si>
  <si>
    <t>Standalone costs not disclosed</t>
  </si>
  <si>
    <t>High for GMV</t>
  </si>
  <si>
    <t>https://www.teachable.com/press/hotmart-company-announces-10-billion</t>
  </si>
  <si>
    <t>Benchmarking note: Gumroad and Shopify provide the strongest public cost data. Stan, Kajabi, Flodesk and Podia are useful operating-model references, while Beacons and Linktree revenue figures above are third-party estimates.</t>
  </si>
  <si>
    <t>Funding Assumptions</t>
  </si>
  <si>
    <t>Seed Raise Amount</t>
  </si>
  <si>
    <t>Funding Year</t>
  </si>
  <si>
    <t>Compensation Assumptions</t>
  </si>
  <si>
    <t>Role</t>
  </si>
  <si>
    <t>Average Salary</t>
  </si>
  <si>
    <t>Annual Raise</t>
  </si>
  <si>
    <t>CEO</t>
  </si>
  <si>
    <t>Product Manager</t>
  </si>
  <si>
    <t>Engineer</t>
  </si>
  <si>
    <t>Chief of Staff</t>
  </si>
  <si>
    <t>Hiring Priority Plan</t>
  </si>
  <si>
    <t>Priority</t>
  </si>
  <si>
    <t># Hires</t>
  </si>
  <si>
    <t>Minimum Seed Raise</t>
  </si>
  <si>
    <t>Base Annual Salary</t>
  </si>
  <si>
    <t>Funded?</t>
  </si>
  <si>
    <t>Hire Year</t>
  </si>
  <si>
    <t>Sequence Check</t>
  </si>
  <si>
    <t>OK</t>
  </si>
  <si>
    <t>Hiring logic: Seed Raise Amount determines how far down the strict priority list the company can hire. All positions whose funding thresholds are met are hired in the Funding Year, with a full year of salary in that year. Annual raises apply beginning in the following year. No employee attrition is assumed in this schedule.</t>
  </si>
  <si>
    <t>Yearly Hiring &amp; Compensation Plan</t>
  </si>
  <si>
    <t>2026E</t>
  </si>
  <si>
    <t>Headcount by Role</t>
  </si>
  <si>
    <t>Engineers</t>
  </si>
  <si>
    <t>Total Headcount</t>
  </si>
  <si>
    <t>Annual Cash Compensation</t>
  </si>
  <si>
    <t>New Hires in Year</t>
  </si>
  <si>
    <t>Total New Hires</t>
  </si>
  <si>
    <t>Funding %</t>
  </si>
  <si>
    <t>Hiring</t>
  </si>
  <si>
    <t>Software Tools</t>
  </si>
  <si>
    <t xml:space="preserve">Marketing </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</si>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</sst>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Red]\(#,##0\);\-"/>
    <numFmt numFmtId="165" formatCode="\$#,##0;[Red]&quot;($&quot;#,##0\);\-"/>
    <numFmt numFmtId="166" formatCode="0.0\x;[Red]\(0.0&quot;x)&quot;;\-"/>
    <numFmt numFmtId="167" formatCode="0.0%;[Red]\(0.0%\);\-"/>
    <numFmt numFmtId="168" formatCode="0.0%"/>
    <numFmt numFmtId="169" formatCode="\$#,##0.0;[Red]&quot;($&quot;#,##0.0\);\-"/>
    <numFmt numFmtId="170" formatCode="0.000000%;[Red]\(0.000000%\);\-"/>
    <numFmt numFmtId="171" formatCode="\$#,##0.0"/>
    <numFmt numFmtId="172" formatCode="\$0.000"/>
    <numFmt numFmtId="173" formatCode="#,##0.0;[Red]\(#,##0.0\);\-"/>
    <numFmt numFmtId="174" formatCode="0.0000"/>
    <numFmt numFmtId="175" formatCode="0.0\x"/>
    <numFmt numFmtId="176" formatCode="\$#,##0.00;[Red]&quot;($&quot;#,##0.00\);\-"/>
    <numFmt numFmtId="177" formatCode="#,##0.0000;[Red]\(#,##0.0000\);\-"/>
  </numFmts>
  <fonts count="27" x14ac:knownFonts="1">
    <font>
      <sz val="10"/>
      <name val="Arial"/>
      <family val="2"/>
    </font>
    <font>
      <sz val="11"/>
      <name val="Calibri"/>
      <family val="2"/>
    </font>
    <font>
      <b/>
      <sz val="10"/>
      <color rgb="FF000000"/>
      <name val="Calibri"/>
      <family val="2"/>
    </font>
    <font>
      <sz val="10"/>
      <color rgb="FF000000"/>
      <name val="Calibri"/>
      <family val="2"/>
    </font>
    <font>
      <b/>
      <sz val="10"/>
      <color rgb="FFFFFFFF"/>
      <name val="Calibri"/>
      <family val="2"/>
    </font>
    <font>
      <b/>
      <i/>
      <sz val="10"/>
      <color rgb="FFFFFFFF"/>
      <name val="Calibri"/>
      <family val="2"/>
    </font>
    <font>
      <sz val="10"/>
      <color rgb="FF666666"/>
      <name val="Calibri"/>
      <family val="2"/>
    </font>
    <font>
      <sz val="10"/>
      <color rgb="FF0000FF"/>
      <name val="Calibri"/>
      <family val="2"/>
    </font>
    <font>
      <sz val="11"/>
      <color rgb="FF0000FF"/>
      <name val="Calibri"/>
      <family val="2"/>
    </font>
    <font>
      <sz val="11"/>
      <color rgb="FF000000"/>
      <name val="Calibri"/>
      <family val="2"/>
    </font>
    <font>
      <sz val="11"/>
      <color rgb="FF008000"/>
      <name val="Calibri"/>
      <family val="2"/>
    </font>
    <font>
      <sz val="10"/>
      <color rgb="FF008000"/>
      <name val="Calibri"/>
      <family val="2"/>
    </font>
    <font>
      <i/>
      <sz val="9"/>
      <color rgb="FF666666"/>
      <name val="Calibri"/>
      <family val="2"/>
    </font>
    <font>
      <sz val="10"/>
      <name val="Calibri"/>
      <family val="2"/>
    </font>
    <font>
      <sz val="10"/>
      <color rgb="FF1F1F1F"/>
      <name val="Calibri"/>
      <family val="2"/>
    </font>
    <font>
      <i/>
      <sz val="10"/>
      <color rgb="FF666666"/>
      <name val="Calibri"/>
      <family val="2"/>
    </font>
    <font>
      <b/>
      <sz val="10"/>
      <color rgb="FF1F1F1F"/>
      <name val="Calibri"/>
      <family val="2"/>
    </font>
    <font>
      <b/>
      <sz val="11"/>
      <color rgb="FF000000"/>
      <name val="Calibri"/>
      <family val="2"/>
    </font>
    <font>
      <i/>
      <sz val="11"/>
      <color rgb="FF666666"/>
      <name val="Calibri"/>
      <family val="2"/>
    </font>
    <font>
      <b/>
      <sz val="11"/>
      <name val="Calibri"/>
      <family val="2"/>
    </font>
    <font>
      <b/>
      <sz val="10"/>
      <name val="Calibri"/>
      <family val="2"/>
    </font>
    <font>
      <b/>
      <sz val="10"/>
      <color rgb="FF0000FF"/>
      <name val="Calibri"/>
      <family val="2"/>
    </font>
    <font>
      <b/>
      <sz val="11"/>
      <color rgb="FFFFFFFF"/>
      <name val="Calibri"/>
      <family val="2"/>
    </font>
    <font>
      <b/>
      <i/>
      <sz val="10"/>
      <color rgb="FF666666"/>
      <name val="Calibri"/>
      <family val="2"/>
    </font>
    <font>
      <b/>
      <sz val="10"/>
      <color rgb="FF008000"/>
      <name val="Calibri"/>
      <family val="2"/>
    </font>
    <font>
      <sz val="10"/>
      <color rgb="FF0563C1"/>
      <name val="Calibri"/>
      <family val="2"/>
    </font>
    <font>
      <sz val="10"/>
      <color rgb="FFA6A6A6"/>
      <name val="Calibri"/>
      <family val="2"/>
    </font>
  </fonts>
  <fills count="8">
    <fill>
      <patternFill patternType="none"/>
    </fill>
    <fill>
      <patternFill patternType="gray125"/>
    </fill>
    <fill>
      <patternFill patternType="solid">
        <fgColor rgb="FF1F4E78"/>
        <bgColor rgb="FF003366"/>
      </patternFill>
    </fill>
    <fill>
      <patternFill patternType="solid">
        <fgColor rgb="FFEAF3F8"/>
        <bgColor rgb="FFF2F2F2"/>
      </patternFill>
    </fill>
    <fill>
      <patternFill patternType="solid">
        <fgColor rgb="FFF2F2F2"/>
        <bgColor rgb="FFEAF3F8"/>
      </patternFill>
    </fill>
    <fill>
      <patternFill patternType="solid">
        <fgColor rgb="FF5B9BD5"/>
        <bgColor rgb="FF808080"/>
      </patternFill>
    </fill>
    <fill>
      <patternFill patternType="solid">
        <fgColor rgb="FFFFF2CC"/>
        <bgColor rgb="FFFCE4D6"/>
      </patternFill>
    </fill>
    <fill>
      <patternFill patternType="solid">
        <fgColor rgb="FFD9EAF7"/>
        <bgColor rgb="FFD9E2F3"/>
      </patternFill>
    </fill>
  </fills>
  <borders count="25">
    <border>
      <left/>
      <right/>
      <top/>
      <bottom/>
      <diagonal/>
    </border>
    <border>
      <left style="thin">
        <color auto="1"/>
      </left>
      <right/>
      <top/>
      <bottom/>
      <diagonal/>
    </border>
    <border>
      <left style="medium">
        <color rgb="FF5B9BD5"/>
      </left>
      <right/>
      <top/>
      <bottom/>
      <diagonal/>
    </border>
    <border>
      <left/>
      <right/>
      <top/>
      <bottom style="thin">
        <color rgb="FF1F4E78"/>
      </bottom>
      <diagonal/>
    </border>
    <border>
      <left style="medium">
        <color rgb="FF5B9BD5"/>
      </left>
      <right/>
      <top/>
      <bottom style="thin">
        <color rgb="FF1F4E78"/>
      </bottom>
      <diagonal/>
    </border>
    <border>
      <left style="thin">
        <color rgb="FFB7C9D6"/>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right/>
      <top/>
      <bottom style="thin">
        <color rgb="FF5B9BD5"/>
      </bottom>
      <diagonal/>
    </border>
    <border>
      <left style="thin">
        <color rgb="FFB7C9D6"/>
      </left>
      <right/>
      <top/>
      <bottom style="thin">
        <color rgb="FFB7C9D6"/>
      </bottom>
      <diagonal/>
    </border>
    <border>
      <left/>
      <right style="thin">
        <color rgb="FFB7C9D6"/>
      </right>
      <top/>
      <bottom style="thin">
        <color rgb="FFB7C9D6"/>
      </bottom>
      <diagonal/>
    </border>
    <border>
      <left/>
      <right/>
      <top/>
      <bottom style="thin">
        <color rgb="FFB7C9D6"/>
      </bottom>
      <diagonal/>
    </border>
    <border>
      <left/>
      <right/>
      <top style="thin">
        <color auto="1"/>
      </top>
      <bottom/>
      <diagonal/>
    </border>
    <border>
      <left style="medium">
        <color rgb="FF5B9BD5"/>
      </left>
      <right/>
      <top style="thin">
        <color auto="1"/>
      </top>
      <bottom/>
      <diagonal/>
    </border>
    <border>
      <left/>
      <right/>
      <top style="thin">
        <color rgb="FF808080"/>
      </top>
      <bottom style="double">
        <color auto="1"/>
      </bottom>
      <diagonal/>
    </border>
    <border>
      <left style="medium">
        <color rgb="FF5B9BD5"/>
      </left>
      <right/>
      <top style="thin">
        <color rgb="FF808080"/>
      </top>
      <bottom style="double">
        <color auto="1"/>
      </bottom>
      <diagonal/>
    </border>
    <border>
      <left/>
      <right/>
      <top/>
      <bottom style="thin">
        <color rgb="FFD9EAF7"/>
      </bottom>
      <diagonal/>
    </border>
    <border>
      <left/>
      <right/>
      <top/>
      <bottom style="double">
        <color auto="1"/>
      </bottom>
      <diagonal/>
    </border>
    <border>
      <left style="medium">
        <color rgb="FF5B9BD5"/>
      </left>
      <right/>
      <top/>
      <bottom style="double">
        <color auto="1"/>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B7C9D6"/>
      </bottom>
      <diagonal/>
    </border>
    <border>
      <left/>
      <right/>
      <top style="thin">
        <color rgb="FFD9E2F3"/>
      </top>
      <bottom/>
      <diagonal/>
    </border>
    <border>
      <left/>
      <right/>
      <top style="thin">
        <color rgb="FF808080"/>
      </top>
      <bottom/>
      <diagonal/>
    </border>
  </borders>
  <cellStyleXfs count="2">
    <xf numFmtId="0" fontId="0" fillId="0" borderId="0"/>
    <xf numFmtId="0" fontId="1" fillId="0" borderId="0"/>
  </cellStyleXfs>
  <cellXfs count="211">
    <xf numFmtId="0" fontId="0" fillId="0" borderId="0" xfId="0"/>
    <xf numFmtId="0" fontId="14" fillId="0" borderId="20" xfId="1" applyFont="1" applyBorder="1" applyAlignment="1">
      <alignment vertical="center" wrapText="1"/>
    </xf>
    <xf numFmtId="0" fontId="4" fillId="5" borderId="0" xfId="1" applyFont="1" applyFill="1" applyAlignment="1">
      <alignment horizontal="center" vertical="center" wrapText="1"/>
    </xf>
    <xf numFmtId="0" fontId="15" fillId="0" borderId="0" xfId="1" applyFont="1" applyAlignment="1">
      <alignment horizontal="left" vertical="center"/>
    </xf>
    <xf numFmtId="0" fontId="23" fillId="7" borderId="0" xfId="1" applyFont="1" applyFill="1" applyAlignment="1">
      <alignment vertical="center" wrapText="1"/>
    </xf>
    <xf numFmtId="0" fontId="23" fillId="0" borderId="0" xfId="1" applyFont="1" applyAlignment="1">
      <alignment vertical="center" wrapText="1"/>
    </xf>
    <xf numFmtId="0" fontId="4" fillId="2" borderId="0" xfId="1" applyFont="1" applyFill="1" applyAlignment="1">
      <alignment horizontal="left" vertical="center" wrapText="1"/>
    </xf>
    <xf numFmtId="0" fontId="15" fillId="0" borderId="0" xfId="1" applyFont="1" applyAlignment="1">
      <alignment vertical="center" wrapText="1"/>
    </xf>
    <xf numFmtId="0" fontId="2" fillId="7" borderId="17" xfId="1" applyFont="1" applyFill="1" applyBorder="1" applyAlignment="1">
      <alignment horizontal="left" vertical="center"/>
    </xf>
    <xf numFmtId="0" fontId="12" fillId="0" borderId="0" xfId="1" applyFont="1" applyAlignment="1">
      <alignment horizontal="left" vertical="center" wrapText="1"/>
    </xf>
    <xf numFmtId="0" fontId="4" fillId="2" borderId="3" xfId="1" applyFont="1" applyFill="1" applyBorder="1" applyAlignment="1">
      <alignment horizontal="left" vertical="center"/>
    </xf>
    <xf numFmtId="0" fontId="3" fillId="0" borderId="0" xfId="1" applyFont="1" applyAlignment="1">
      <alignment vertical="center"/>
    </xf>
    <xf numFmtId="0" fontId="2" fillId="7" borderId="12" xfId="1" applyFont="1" applyFill="1" applyBorder="1" applyAlignment="1">
      <alignment horizontal="left" vertical="center"/>
    </xf>
    <xf numFmtId="0" fontId="4" fillId="5" borderId="9" xfId="1" applyFont="1" applyFill="1" applyBorder="1" applyAlignment="1">
      <alignment horizontal="left" vertical="center"/>
    </xf>
    <xf numFmtId="0" fontId="4" fillId="2" borderId="3" xfId="1" applyFont="1" applyFill="1" applyBorder="1" applyAlignment="1">
      <alignment vertical="center"/>
    </xf>
    <xf numFmtId="0" fontId="1" fillId="0" borderId="1" xfId="1" applyBorder="1"/>
    <xf numFmtId="0" fontId="2" fillId="0" borderId="0" xfId="1" applyFont="1" applyAlignment="1">
      <alignment vertical="center"/>
    </xf>
    <xf numFmtId="0" fontId="3" fillId="0" borderId="0" xfId="1" applyFont="1" applyAlignment="1">
      <alignment vertical="center"/>
    </xf>
    <xf numFmtId="0" fontId="2" fillId="0" borderId="0" xfId="1" applyFont="1" applyAlignment="1">
      <alignment horizontal="right" vertical="center"/>
    </xf>
    <xf numFmtId="0" fontId="2" fillId="0" borderId="2" xfId="1" applyFont="1" applyBorder="1" applyAlignment="1">
      <alignment horizontal="right" vertical="center"/>
    </xf>
    <xf numFmtId="0" fontId="3" fillId="0" borderId="0" xfId="1" applyFont="1"/>
    <xf numFmtId="0" fontId="4" fillId="2" borderId="3" xfId="1" applyFont="1" applyFill="1" applyBorder="1" applyAlignment="1">
      <alignment vertical="center"/>
    </xf>
    <xf numFmtId="0" fontId="5" fillId="2" borderId="3" xfId="1" applyFont="1" applyFill="1" applyBorder="1" applyAlignment="1">
      <alignment horizontal="right" vertical="center"/>
    </xf>
    <xf numFmtId="0" fontId="5" fillId="2" borderId="4" xfId="1" applyFont="1" applyFill="1" applyBorder="1" applyAlignment="1">
      <alignment horizontal="right" vertical="center"/>
    </xf>
    <xf numFmtId="0" fontId="6" fillId="0" borderId="0" xfId="1" applyFont="1" applyAlignment="1">
      <alignment vertical="center"/>
    </xf>
    <xf numFmtId="164" fontId="6" fillId="3" borderId="0" xfId="1" applyNumberFormat="1" applyFont="1" applyFill="1" applyAlignment="1">
      <alignment vertical="center"/>
    </xf>
    <xf numFmtId="164" fontId="7" fillId="4" borderId="2" xfId="1" applyNumberFormat="1" applyFont="1" applyFill="1" applyBorder="1" applyAlignment="1">
      <alignment vertical="center"/>
    </xf>
    <xf numFmtId="164" fontId="6" fillId="4" borderId="0" xfId="1" applyNumberFormat="1" applyFont="1" applyFill="1" applyAlignment="1">
      <alignment vertical="center"/>
    </xf>
    <xf numFmtId="0" fontId="1" fillId="0" borderId="5" xfId="1" applyBorder="1" applyAlignment="1">
      <alignment vertical="center"/>
    </xf>
    <xf numFmtId="0" fontId="8" fillId="0" borderId="6" xfId="1" applyFont="1" applyBorder="1" applyAlignment="1">
      <alignment vertical="center"/>
    </xf>
    <xf numFmtId="0" fontId="3" fillId="0" borderId="0" xfId="1" applyFont="1" applyAlignment="1">
      <alignment horizontal="right" vertical="center"/>
    </xf>
    <xf numFmtId="0" fontId="3" fillId="0" borderId="2" xfId="1" applyFont="1" applyBorder="1" applyAlignment="1">
      <alignment horizontal="right" vertical="center"/>
    </xf>
    <xf numFmtId="0" fontId="1" fillId="0" borderId="7" xfId="1" applyBorder="1" applyAlignment="1">
      <alignment vertical="center"/>
    </xf>
    <xf numFmtId="0" fontId="9" fillId="0" borderId="8" xfId="1" applyFont="1" applyBorder="1" applyAlignment="1">
      <alignment vertical="center"/>
    </xf>
    <xf numFmtId="0" fontId="10" fillId="0" borderId="8" xfId="1" applyFont="1" applyBorder="1" applyAlignment="1">
      <alignment vertical="center"/>
    </xf>
    <xf numFmtId="0" fontId="3" fillId="0" borderId="0" xfId="1" applyFont="1" applyAlignment="1">
      <alignment horizontal="left" vertical="center"/>
    </xf>
    <xf numFmtId="0" fontId="1" fillId="0" borderId="10" xfId="1" applyBorder="1" applyAlignment="1">
      <alignment vertical="center"/>
    </xf>
    <xf numFmtId="0" fontId="1" fillId="6" borderId="11" xfId="1" applyFill="1" applyBorder="1" applyAlignment="1">
      <alignment vertical="center"/>
    </xf>
    <xf numFmtId="0" fontId="1" fillId="0" borderId="0" xfId="1" applyAlignment="1">
      <alignment vertical="center"/>
    </xf>
    <xf numFmtId="165" fontId="11" fillId="0" borderId="0" xfId="1" applyNumberFormat="1" applyFont="1" applyAlignment="1">
      <alignment horizontal="right" vertical="center"/>
    </xf>
    <xf numFmtId="165" fontId="11" fillId="0" borderId="2" xfId="1" applyNumberFormat="1" applyFont="1" applyBorder="1" applyAlignment="1">
      <alignment horizontal="right" vertical="center"/>
    </xf>
    <xf numFmtId="165" fontId="3" fillId="0" borderId="0" xfId="1" applyNumberFormat="1" applyFont="1" applyAlignment="1">
      <alignment horizontal="right" vertical="center"/>
    </xf>
    <xf numFmtId="165" fontId="3" fillId="0" borderId="2" xfId="1" applyNumberFormat="1" applyFont="1" applyBorder="1" applyAlignment="1">
      <alignment horizontal="right" vertical="center"/>
    </xf>
    <xf numFmtId="166" fontId="3" fillId="0" borderId="0" xfId="1" applyNumberFormat="1" applyFont="1" applyAlignment="1">
      <alignment horizontal="right" vertical="center"/>
    </xf>
    <xf numFmtId="166" fontId="3" fillId="0" borderId="2" xfId="1" applyNumberFormat="1" applyFont="1" applyBorder="1" applyAlignment="1">
      <alignment horizontal="right" vertical="center"/>
    </xf>
    <xf numFmtId="0" fontId="2" fillId="0" borderId="13" xfId="1" applyFont="1" applyBorder="1" applyAlignment="1">
      <alignment horizontal="left" vertical="center"/>
    </xf>
    <xf numFmtId="0" fontId="2" fillId="0" borderId="13" xfId="1" applyFont="1" applyBorder="1" applyAlignment="1">
      <alignment vertical="center"/>
    </xf>
    <xf numFmtId="165" fontId="2" fillId="0" borderId="13" xfId="1" applyNumberFormat="1" applyFont="1" applyBorder="1" applyAlignment="1">
      <alignment horizontal="right" vertical="center"/>
    </xf>
    <xf numFmtId="165" fontId="2" fillId="0" borderId="14" xfId="1" applyNumberFormat="1" applyFont="1" applyBorder="1" applyAlignment="1">
      <alignment horizontal="right" vertical="center"/>
    </xf>
    <xf numFmtId="167" fontId="3" fillId="0" borderId="0" xfId="1" applyNumberFormat="1" applyFont="1" applyAlignment="1">
      <alignment horizontal="right" vertical="center"/>
    </xf>
    <xf numFmtId="167" fontId="3" fillId="0" borderId="2" xfId="1" applyNumberFormat="1" applyFont="1" applyBorder="1" applyAlignment="1">
      <alignment horizontal="right" vertical="center"/>
    </xf>
    <xf numFmtId="0" fontId="2" fillId="0" borderId="15" xfId="1" applyFont="1" applyBorder="1" applyAlignment="1">
      <alignment horizontal="left" vertical="center"/>
    </xf>
    <xf numFmtId="0" fontId="2" fillId="0" borderId="15" xfId="1" applyFont="1" applyBorder="1" applyAlignment="1">
      <alignment vertical="center"/>
    </xf>
    <xf numFmtId="165" fontId="2" fillId="0" borderId="15" xfId="1" applyNumberFormat="1" applyFont="1" applyBorder="1" applyAlignment="1">
      <alignment horizontal="right" vertical="center"/>
    </xf>
    <xf numFmtId="165" fontId="2" fillId="0" borderId="16" xfId="1" applyNumberFormat="1" applyFont="1" applyBorder="1" applyAlignment="1">
      <alignment horizontal="right" vertical="center"/>
    </xf>
    <xf numFmtId="167" fontId="1" fillId="0" borderId="0" xfId="1" applyNumberFormat="1" applyAlignment="1">
      <alignment vertical="center"/>
    </xf>
    <xf numFmtId="167" fontId="3" fillId="0" borderId="0" xfId="1" applyNumberFormat="1" applyFont="1" applyAlignment="1">
      <alignment vertical="center"/>
    </xf>
    <xf numFmtId="167" fontId="7" fillId="6" borderId="2" xfId="1" applyNumberFormat="1" applyFont="1" applyFill="1" applyBorder="1" applyAlignment="1">
      <alignment horizontal="right" vertical="center"/>
    </xf>
    <xf numFmtId="167" fontId="3" fillId="0" borderId="2" xfId="1" applyNumberFormat="1" applyFont="1" applyBorder="1" applyAlignment="1">
      <alignment vertical="center"/>
    </xf>
    <xf numFmtId="0" fontId="1" fillId="0" borderId="2" xfId="1" applyBorder="1" applyAlignment="1">
      <alignment vertical="center"/>
    </xf>
    <xf numFmtId="0" fontId="13" fillId="0" borderId="0" xfId="1" applyFont="1"/>
    <xf numFmtId="0" fontId="14" fillId="0" borderId="0" xfId="1" applyFont="1" applyAlignment="1">
      <alignment vertical="center"/>
    </xf>
    <xf numFmtId="0" fontId="2" fillId="0" borderId="0" xfId="1" applyFont="1" applyAlignment="1">
      <alignment horizontal="right"/>
    </xf>
    <xf numFmtId="168" fontId="13" fillId="0" borderId="0" xfId="1" applyNumberFormat="1" applyFont="1"/>
    <xf numFmtId="9" fontId="13" fillId="0" borderId="0" xfId="1" applyNumberFormat="1" applyFont="1"/>
    <xf numFmtId="1" fontId="7" fillId="6" borderId="0" xfId="1" applyNumberFormat="1" applyFont="1" applyFill="1" applyAlignment="1">
      <alignment horizontal="right"/>
    </xf>
    <xf numFmtId="0" fontId="15" fillId="3" borderId="0" xfId="1" applyFont="1" applyFill="1" applyAlignment="1">
      <alignment horizontal="right" vertical="center"/>
    </xf>
    <xf numFmtId="0" fontId="15" fillId="4" borderId="2" xfId="1" applyFont="1" applyFill="1" applyBorder="1" applyAlignment="1">
      <alignment horizontal="right" vertical="center"/>
    </xf>
    <xf numFmtId="0" fontId="15" fillId="4" borderId="0" xfId="1" applyFont="1" applyFill="1" applyAlignment="1">
      <alignment horizontal="right" vertical="center"/>
    </xf>
    <xf numFmtId="0" fontId="15" fillId="0" borderId="0" xfId="1" applyFont="1" applyAlignment="1">
      <alignment horizontal="right"/>
    </xf>
    <xf numFmtId="0" fontId="14" fillId="0" borderId="2" xfId="1" applyFont="1" applyBorder="1" applyAlignment="1">
      <alignment vertical="center"/>
    </xf>
    <xf numFmtId="0" fontId="4" fillId="5" borderId="0" xfId="1" applyFont="1" applyFill="1" applyAlignment="1">
      <alignment horizontal="left"/>
    </xf>
    <xf numFmtId="0" fontId="16" fillId="7" borderId="0" xfId="1" applyFont="1" applyFill="1" applyAlignment="1">
      <alignment horizontal="left"/>
    </xf>
    <xf numFmtId="169" fontId="3" fillId="0" borderId="0" xfId="1" applyNumberFormat="1" applyFont="1" applyAlignment="1">
      <alignment horizontal="right" vertical="center"/>
    </xf>
    <xf numFmtId="169" fontId="3" fillId="0" borderId="2" xfId="1" applyNumberFormat="1" applyFont="1" applyBorder="1" applyAlignment="1">
      <alignment horizontal="right" vertical="center"/>
    </xf>
    <xf numFmtId="169" fontId="13" fillId="0" borderId="0" xfId="1" applyNumberFormat="1" applyFont="1" applyAlignment="1">
      <alignment horizontal="right"/>
    </xf>
    <xf numFmtId="167" fontId="14" fillId="0" borderId="0" xfId="1" applyNumberFormat="1" applyFont="1" applyAlignment="1">
      <alignment horizontal="right" vertical="center"/>
    </xf>
    <xf numFmtId="167" fontId="13" fillId="0" borderId="0" xfId="1" applyNumberFormat="1" applyFont="1" applyAlignment="1">
      <alignment horizontal="right"/>
    </xf>
    <xf numFmtId="170" fontId="13" fillId="0" borderId="0" xfId="1" applyNumberFormat="1" applyFont="1" applyAlignment="1">
      <alignment horizontal="right"/>
    </xf>
    <xf numFmtId="165" fontId="13" fillId="0" borderId="0" xfId="1" applyNumberFormat="1" applyFont="1" applyAlignment="1">
      <alignment horizontal="right"/>
    </xf>
    <xf numFmtId="171" fontId="7" fillId="6" borderId="0" xfId="1" applyNumberFormat="1" applyFont="1" applyFill="1" applyAlignment="1">
      <alignment horizontal="right" vertical="center"/>
    </xf>
    <xf numFmtId="167" fontId="3" fillId="6" borderId="0" xfId="1" applyNumberFormat="1" applyFont="1" applyFill="1" applyAlignment="1">
      <alignment horizontal="right" vertical="center"/>
    </xf>
    <xf numFmtId="171" fontId="2" fillId="0" borderId="0" xfId="1" applyNumberFormat="1" applyFont="1" applyAlignment="1">
      <alignment horizontal="right" vertical="center"/>
    </xf>
    <xf numFmtId="172" fontId="7" fillId="6" borderId="0" xfId="1" applyNumberFormat="1" applyFont="1" applyFill="1" applyAlignment="1">
      <alignment horizontal="right" vertical="center"/>
    </xf>
    <xf numFmtId="167" fontId="2" fillId="0" borderId="0" xfId="1" applyNumberFormat="1" applyFont="1" applyAlignment="1">
      <alignment horizontal="right" vertical="center"/>
    </xf>
    <xf numFmtId="1" fontId="2" fillId="0" borderId="0" xfId="1" applyNumberFormat="1" applyFont="1" applyAlignment="1">
      <alignment horizontal="right" vertical="center"/>
    </xf>
    <xf numFmtId="0" fontId="15" fillId="0" borderId="2" xfId="1" applyFont="1" applyBorder="1" applyAlignment="1">
      <alignment horizontal="left" vertical="center" wrapText="1"/>
    </xf>
    <xf numFmtId="0" fontId="15" fillId="0" borderId="0" xfId="1" applyFont="1" applyAlignment="1">
      <alignment horizontal="left" vertical="center" wrapText="1"/>
    </xf>
    <xf numFmtId="0" fontId="17" fillId="7" borderId="12" xfId="1" applyFont="1" applyFill="1" applyBorder="1" applyAlignment="1">
      <alignment vertical="center"/>
    </xf>
    <xf numFmtId="0" fontId="18" fillId="0" borderId="0" xfId="1" applyFont="1" applyAlignment="1">
      <alignment vertical="center" wrapText="1"/>
    </xf>
    <xf numFmtId="0" fontId="14" fillId="0" borderId="0" xfId="1" applyFont="1"/>
    <xf numFmtId="0" fontId="2" fillId="0" borderId="2" xfId="1" applyFont="1" applyBorder="1" applyAlignment="1">
      <alignment vertical="center"/>
    </xf>
    <xf numFmtId="0" fontId="6" fillId="3" borderId="0" xfId="1" applyFont="1" applyFill="1" applyAlignment="1">
      <alignment vertical="center"/>
    </xf>
    <xf numFmtId="0" fontId="6" fillId="4" borderId="2" xfId="1" applyFont="1" applyFill="1" applyBorder="1" applyAlignment="1">
      <alignment vertical="center"/>
    </xf>
    <xf numFmtId="0" fontId="6" fillId="4" borderId="0" xfId="1" applyFont="1" applyFill="1" applyAlignment="1">
      <alignment vertical="center"/>
    </xf>
    <xf numFmtId="0" fontId="19" fillId="0" borderId="0" xfId="1" applyFont="1" applyAlignment="1">
      <alignment vertical="center"/>
    </xf>
    <xf numFmtId="0" fontId="13" fillId="0" borderId="0" xfId="1" applyFont="1" applyAlignment="1">
      <alignment vertical="center"/>
    </xf>
    <xf numFmtId="0" fontId="20" fillId="0" borderId="0" xfId="1" applyFont="1" applyAlignment="1">
      <alignment vertical="center"/>
    </xf>
    <xf numFmtId="165" fontId="3" fillId="0" borderId="2" xfId="1" applyNumberFormat="1" applyFont="1" applyBorder="1" applyAlignment="1">
      <alignment vertical="center"/>
    </xf>
    <xf numFmtId="165" fontId="3" fillId="0" borderId="0" xfId="1" applyNumberFormat="1" applyFont="1" applyAlignment="1">
      <alignment vertical="center"/>
    </xf>
    <xf numFmtId="0" fontId="20" fillId="0" borderId="18" xfId="1" applyFont="1" applyBorder="1" applyAlignment="1">
      <alignment vertical="center"/>
    </xf>
    <xf numFmtId="165" fontId="21" fillId="0" borderId="18" xfId="1" applyNumberFormat="1" applyFont="1" applyBorder="1" applyAlignment="1">
      <alignment vertical="center"/>
    </xf>
    <xf numFmtId="165" fontId="2" fillId="0" borderId="19" xfId="1" applyNumberFormat="1" applyFont="1" applyBorder="1" applyAlignment="1">
      <alignment vertical="center"/>
    </xf>
    <xf numFmtId="165" fontId="2" fillId="0" borderId="18" xfId="1" applyNumberFormat="1" applyFont="1" applyBorder="1" applyAlignment="1">
      <alignment vertical="center"/>
    </xf>
    <xf numFmtId="164" fontId="11" fillId="0" borderId="0" xfId="1" applyNumberFormat="1" applyFont="1" applyAlignment="1">
      <alignment vertical="center"/>
    </xf>
    <xf numFmtId="173" fontId="11" fillId="6" borderId="2" xfId="1" applyNumberFormat="1" applyFont="1" applyFill="1" applyBorder="1" applyAlignment="1">
      <alignment vertical="center"/>
    </xf>
    <xf numFmtId="173" fontId="11" fillId="0" borderId="0" xfId="1" applyNumberFormat="1" applyFont="1" applyAlignment="1">
      <alignment vertical="center"/>
    </xf>
    <xf numFmtId="0" fontId="11" fillId="0" borderId="0" xfId="1" applyFont="1" applyAlignment="1">
      <alignment vertical="center"/>
    </xf>
    <xf numFmtId="0" fontId="11" fillId="0" borderId="2" xfId="1" applyFont="1" applyBorder="1" applyAlignment="1">
      <alignment vertical="center"/>
    </xf>
    <xf numFmtId="167" fontId="11" fillId="6" borderId="0" xfId="1" applyNumberFormat="1" applyFont="1" applyFill="1" applyAlignment="1">
      <alignment vertical="center"/>
    </xf>
    <xf numFmtId="165" fontId="11" fillId="0" borderId="0" xfId="1" applyNumberFormat="1" applyFont="1" applyAlignment="1">
      <alignment vertical="center"/>
    </xf>
    <xf numFmtId="165" fontId="11" fillId="6" borderId="2" xfId="1" applyNumberFormat="1" applyFont="1" applyFill="1" applyBorder="1" applyAlignment="1">
      <alignment vertical="center"/>
    </xf>
    <xf numFmtId="165" fontId="11" fillId="6" borderId="0" xfId="1" applyNumberFormat="1" applyFont="1" applyFill="1" applyAlignment="1">
      <alignment vertical="center"/>
    </xf>
    <xf numFmtId="173" fontId="7" fillId="6" borderId="2" xfId="1" applyNumberFormat="1" applyFont="1" applyFill="1" applyBorder="1" applyAlignment="1">
      <alignment vertical="center"/>
    </xf>
    <xf numFmtId="173" fontId="7" fillId="6" borderId="0" xfId="1" applyNumberFormat="1" applyFont="1" applyFill="1" applyAlignment="1">
      <alignment vertical="center"/>
    </xf>
    <xf numFmtId="174" fontId="7" fillId="6" borderId="2" xfId="1" applyNumberFormat="1" applyFont="1" applyFill="1" applyBorder="1" applyAlignment="1">
      <alignment vertical="center"/>
    </xf>
    <xf numFmtId="174" fontId="7" fillId="6" borderId="0" xfId="1" applyNumberFormat="1" applyFont="1" applyFill="1" applyAlignment="1">
      <alignment vertical="center"/>
    </xf>
    <xf numFmtId="173" fontId="3" fillId="0" borderId="2" xfId="1" applyNumberFormat="1" applyFont="1" applyBorder="1" applyAlignment="1">
      <alignment vertical="center"/>
    </xf>
    <xf numFmtId="173" fontId="3" fillId="0" borderId="0" xfId="1" applyNumberFormat="1" applyFont="1" applyAlignment="1">
      <alignment vertical="center"/>
    </xf>
    <xf numFmtId="164" fontId="11" fillId="0" borderId="2" xfId="1" applyNumberFormat="1" applyFont="1" applyBorder="1" applyAlignment="1">
      <alignment vertical="center"/>
    </xf>
    <xf numFmtId="164" fontId="7" fillId="6" borderId="2" xfId="1" applyNumberFormat="1" applyFont="1" applyFill="1" applyBorder="1" applyAlignment="1">
      <alignment vertical="center"/>
    </xf>
    <xf numFmtId="164" fontId="7" fillId="6" borderId="0" xfId="1" applyNumberFormat="1" applyFont="1" applyFill="1" applyAlignment="1">
      <alignment vertical="center"/>
    </xf>
    <xf numFmtId="164" fontId="3" fillId="0" borderId="2" xfId="1" applyNumberFormat="1" applyFont="1" applyBorder="1" applyAlignment="1">
      <alignment vertical="center"/>
    </xf>
    <xf numFmtId="164" fontId="3" fillId="0" borderId="0" xfId="1" applyNumberFormat="1" applyFont="1" applyAlignment="1">
      <alignment vertical="center"/>
    </xf>
    <xf numFmtId="0" fontId="20" fillId="0" borderId="13" xfId="1" applyFont="1" applyBorder="1" applyAlignment="1">
      <alignment vertical="center"/>
    </xf>
    <xf numFmtId="0" fontId="19" fillId="0" borderId="13" xfId="1" applyFont="1" applyBorder="1" applyAlignment="1">
      <alignment vertical="center"/>
    </xf>
    <xf numFmtId="164" fontId="2" fillId="0" borderId="14" xfId="1" applyNumberFormat="1" applyFont="1" applyBorder="1" applyAlignment="1">
      <alignment vertical="center"/>
    </xf>
    <xf numFmtId="164" fontId="2" fillId="0" borderId="13" xfId="1" applyNumberFormat="1" applyFont="1" applyBorder="1" applyAlignment="1">
      <alignment vertical="center"/>
    </xf>
    <xf numFmtId="167" fontId="7" fillId="6" borderId="2" xfId="1" applyNumberFormat="1" applyFont="1" applyFill="1" applyBorder="1" applyAlignment="1">
      <alignment vertical="center"/>
    </xf>
    <xf numFmtId="167" fontId="7" fillId="6" borderId="0" xfId="1" applyNumberFormat="1" applyFont="1" applyFill="1" applyAlignment="1">
      <alignment vertical="center"/>
    </xf>
    <xf numFmtId="165" fontId="7" fillId="6" borderId="2" xfId="1" applyNumberFormat="1" applyFont="1" applyFill="1" applyBorder="1" applyAlignment="1">
      <alignment vertical="center"/>
    </xf>
    <xf numFmtId="165" fontId="7" fillId="6" borderId="0" xfId="1" applyNumberFormat="1" applyFont="1" applyFill="1" applyAlignment="1">
      <alignment vertical="center"/>
    </xf>
    <xf numFmtId="167" fontId="2" fillId="0" borderId="14" xfId="1" applyNumberFormat="1" applyFont="1" applyBorder="1" applyAlignment="1">
      <alignment vertical="center"/>
    </xf>
    <xf numFmtId="167" fontId="2" fillId="0" borderId="13" xfId="1" applyNumberFormat="1" applyFont="1" applyBorder="1" applyAlignment="1">
      <alignment vertical="center"/>
    </xf>
    <xf numFmtId="175" fontId="7" fillId="6" borderId="2" xfId="1" applyNumberFormat="1" applyFont="1" applyFill="1" applyBorder="1" applyAlignment="1">
      <alignment vertical="center"/>
    </xf>
    <xf numFmtId="0" fontId="19" fillId="0" borderId="14" xfId="1" applyFont="1" applyBorder="1" applyAlignment="1">
      <alignment vertical="center"/>
    </xf>
    <xf numFmtId="167" fontId="11" fillId="0" borderId="0" xfId="1" applyNumberFormat="1" applyFont="1" applyAlignment="1">
      <alignment vertical="center"/>
    </xf>
    <xf numFmtId="0" fontId="19" fillId="0" borderId="18" xfId="1" applyFont="1" applyBorder="1" applyAlignment="1">
      <alignment vertical="center"/>
    </xf>
    <xf numFmtId="164" fontId="2" fillId="0" borderId="19" xfId="1" applyNumberFormat="1" applyFont="1" applyBorder="1" applyAlignment="1">
      <alignment vertical="center"/>
    </xf>
    <xf numFmtId="164" fontId="2" fillId="0" borderId="18" xfId="1" applyNumberFormat="1" applyFont="1" applyBorder="1" applyAlignment="1">
      <alignment vertical="center"/>
    </xf>
    <xf numFmtId="165" fontId="2" fillId="0" borderId="14" xfId="1" applyNumberFormat="1" applyFont="1" applyBorder="1" applyAlignment="1">
      <alignment vertical="center"/>
    </xf>
    <xf numFmtId="165" fontId="2" fillId="0" borderId="13" xfId="1" applyNumberFormat="1" applyFont="1" applyBorder="1" applyAlignment="1">
      <alignment vertical="center"/>
    </xf>
    <xf numFmtId="165" fontId="11" fillId="0" borderId="2" xfId="1" applyNumberFormat="1" applyFont="1" applyBorder="1" applyAlignment="1">
      <alignment vertical="center"/>
    </xf>
    <xf numFmtId="176" fontId="2" fillId="0" borderId="14" xfId="1" applyNumberFormat="1" applyFont="1" applyBorder="1" applyAlignment="1">
      <alignment vertical="center"/>
    </xf>
    <xf numFmtId="176" fontId="2" fillId="0" borderId="13" xfId="1" applyNumberFormat="1" applyFont="1" applyBorder="1" applyAlignment="1">
      <alignment vertical="center"/>
    </xf>
    <xf numFmtId="0" fontId="22" fillId="2" borderId="0" xfId="1" applyFont="1" applyFill="1" applyAlignment="1">
      <alignment vertical="center" wrapText="1"/>
    </xf>
    <xf numFmtId="0" fontId="20" fillId="0" borderId="2" xfId="1" applyFont="1" applyBorder="1" applyAlignment="1">
      <alignment vertical="center"/>
    </xf>
    <xf numFmtId="164" fontId="6" fillId="4" borderId="2" xfId="1" applyNumberFormat="1" applyFont="1" applyFill="1" applyBorder="1" applyAlignment="1">
      <alignment vertical="center"/>
    </xf>
    <xf numFmtId="0" fontId="20" fillId="7" borderId="0" xfId="1" applyFont="1" applyFill="1" applyAlignment="1">
      <alignment vertical="center"/>
    </xf>
    <xf numFmtId="165" fontId="3" fillId="7" borderId="0" xfId="1" applyNumberFormat="1" applyFont="1" applyFill="1" applyAlignment="1">
      <alignment vertical="center"/>
    </xf>
    <xf numFmtId="165" fontId="3" fillId="7" borderId="2" xfId="1" applyNumberFormat="1" applyFont="1" applyFill="1" applyBorder="1" applyAlignment="1">
      <alignment vertical="center"/>
    </xf>
    <xf numFmtId="0" fontId="20" fillId="7" borderId="18" xfId="1" applyFont="1" applyFill="1" applyBorder="1" applyAlignment="1">
      <alignment vertical="center"/>
    </xf>
    <xf numFmtId="165" fontId="2" fillId="7" borderId="18" xfId="1" applyNumberFormat="1" applyFont="1" applyFill="1" applyBorder="1" applyAlignment="1">
      <alignment vertical="center"/>
    </xf>
    <xf numFmtId="165" fontId="2" fillId="7" borderId="19" xfId="1" applyNumberFormat="1" applyFont="1" applyFill="1" applyBorder="1" applyAlignment="1">
      <alignment vertical="center"/>
    </xf>
    <xf numFmtId="167" fontId="3" fillId="7" borderId="0" xfId="1" applyNumberFormat="1" applyFont="1" applyFill="1" applyAlignment="1">
      <alignment vertical="center"/>
    </xf>
    <xf numFmtId="164" fontId="11" fillId="6" borderId="0" xfId="1" applyNumberFormat="1" applyFont="1" applyFill="1" applyAlignment="1">
      <alignment vertical="center"/>
    </xf>
    <xf numFmtId="165" fontId="24" fillId="0" borderId="14" xfId="1" applyNumberFormat="1" applyFont="1" applyBorder="1" applyAlignment="1">
      <alignment vertical="center"/>
    </xf>
    <xf numFmtId="165" fontId="24" fillId="0" borderId="13" xfId="1" applyNumberFormat="1" applyFont="1" applyBorder="1" applyAlignment="1">
      <alignment vertical="center"/>
    </xf>
    <xf numFmtId="167" fontId="11" fillId="6" borderId="2" xfId="1" applyNumberFormat="1" applyFont="1" applyFill="1" applyBorder="1" applyAlignment="1">
      <alignment vertical="center"/>
    </xf>
    <xf numFmtId="165" fontId="24" fillId="0" borderId="19" xfId="1" applyNumberFormat="1" applyFont="1" applyBorder="1" applyAlignment="1">
      <alignment vertical="center"/>
    </xf>
    <xf numFmtId="165" fontId="24" fillId="0" borderId="18" xfId="1" applyNumberFormat="1" applyFont="1" applyBorder="1" applyAlignment="1">
      <alignment vertical="center"/>
    </xf>
    <xf numFmtId="0" fontId="2" fillId="7" borderId="20" xfId="1" applyFont="1" applyFill="1" applyBorder="1" applyAlignment="1">
      <alignment vertical="center"/>
    </xf>
    <xf numFmtId="0" fontId="13" fillId="0" borderId="21" xfId="1" applyFont="1" applyBorder="1" applyAlignment="1">
      <alignment vertical="center"/>
    </xf>
    <xf numFmtId="177" fontId="11" fillId="0" borderId="21" xfId="1" applyNumberFormat="1" applyFont="1" applyBorder="1" applyAlignment="1">
      <alignment vertical="center"/>
    </xf>
    <xf numFmtId="177" fontId="3" fillId="0" borderId="21" xfId="1" applyNumberFormat="1" applyFont="1" applyBorder="1" applyAlignment="1">
      <alignment vertical="center"/>
    </xf>
    <xf numFmtId="177" fontId="13" fillId="0" borderId="21" xfId="1" applyNumberFormat="1" applyFont="1" applyBorder="1" applyAlignment="1">
      <alignment vertical="center"/>
    </xf>
    <xf numFmtId="0" fontId="3" fillId="0" borderId="21" xfId="1" applyFont="1" applyBorder="1" applyAlignment="1">
      <alignment vertical="center"/>
    </xf>
    <xf numFmtId="0" fontId="1" fillId="0" borderId="21" xfId="1" applyBorder="1" applyAlignment="1">
      <alignment vertical="center"/>
    </xf>
    <xf numFmtId="177" fontId="1" fillId="0" borderId="21" xfId="1" applyNumberFormat="1" applyBorder="1" applyAlignment="1">
      <alignment vertical="center"/>
    </xf>
    <xf numFmtId="0" fontId="20" fillId="0" borderId="22" xfId="1" applyFont="1" applyBorder="1" applyAlignment="1">
      <alignment vertical="center"/>
    </xf>
    <xf numFmtId="0" fontId="1" fillId="0" borderId="22" xfId="1" applyBorder="1" applyAlignment="1">
      <alignment vertical="center"/>
    </xf>
    <xf numFmtId="177" fontId="1" fillId="0" borderId="22" xfId="1" applyNumberFormat="1" applyBorder="1" applyAlignment="1">
      <alignment vertical="center"/>
    </xf>
    <xf numFmtId="0" fontId="2" fillId="0" borderId="22" xfId="1" applyFont="1" applyBorder="1" applyAlignment="1">
      <alignment vertical="center"/>
    </xf>
    <xf numFmtId="0" fontId="4" fillId="5" borderId="0" xfId="1" applyFont="1" applyFill="1" applyAlignment="1">
      <alignment horizontal="center" vertical="center" wrapText="1"/>
    </xf>
    <xf numFmtId="0" fontId="16" fillId="0" borderId="20" xfId="1" applyFont="1" applyBorder="1" applyAlignment="1">
      <alignment vertical="center" wrapText="1"/>
    </xf>
    <xf numFmtId="0" fontId="14" fillId="0" borderId="20" xfId="1" applyFont="1" applyBorder="1" applyAlignment="1">
      <alignment horizontal="center" vertical="center" wrapText="1"/>
    </xf>
    <xf numFmtId="0" fontId="25" fillId="0" borderId="20" xfId="1" applyFont="1" applyBorder="1" applyAlignment="1">
      <alignment vertical="center" wrapText="1"/>
    </xf>
    <xf numFmtId="0" fontId="16" fillId="0" borderId="21" xfId="1" applyFont="1" applyBorder="1" applyAlignment="1">
      <alignment vertical="center" wrapText="1"/>
    </xf>
    <xf numFmtId="0" fontId="14" fillId="0" borderId="21" xfId="1" applyFont="1" applyBorder="1" applyAlignment="1">
      <alignment horizontal="center" vertical="center" wrapText="1"/>
    </xf>
    <xf numFmtId="0" fontId="25" fillId="0" borderId="21" xfId="1" applyFont="1" applyBorder="1" applyAlignment="1">
      <alignment vertical="center" wrapText="1"/>
    </xf>
    <xf numFmtId="0" fontId="16" fillId="0" borderId="23" xfId="1" applyFont="1" applyBorder="1" applyAlignment="1">
      <alignment vertical="center" wrapText="1"/>
    </xf>
    <xf numFmtId="0" fontId="14" fillId="0" borderId="23" xfId="1" applyFont="1" applyBorder="1" applyAlignment="1">
      <alignment horizontal="center" vertical="center" wrapText="1"/>
    </xf>
    <xf numFmtId="0" fontId="25" fillId="0" borderId="23" xfId="1" applyFont="1" applyBorder="1" applyAlignment="1">
      <alignment vertical="center" wrapText="1"/>
    </xf>
    <xf numFmtId="0" fontId="4" fillId="5" borderId="9" xfId="1" applyFont="1" applyFill="1" applyBorder="1" applyAlignment="1">
      <alignment horizontal="center" vertical="center"/>
    </xf>
    <xf numFmtId="0" fontId="2" fillId="7" borderId="0" xfId="1" applyFont="1" applyFill="1" applyAlignment="1">
      <alignment horizontal="center" vertical="center"/>
    </xf>
    <xf numFmtId="0" fontId="3" fillId="0" borderId="0" xfId="1" applyFont="1" applyAlignment="1">
      <alignment horizontal="center" vertical="center"/>
    </xf>
    <xf numFmtId="167" fontId="7" fillId="0" borderId="0" xfId="1" applyNumberFormat="1" applyFont="1" applyAlignment="1">
      <alignment horizontal="center" vertical="center"/>
    </xf>
    <xf numFmtId="0" fontId="7" fillId="0" borderId="0" xfId="1" applyFont="1" applyAlignment="1">
      <alignment horizontal="center" vertical="center"/>
    </xf>
    <xf numFmtId="165" fontId="3" fillId="0" borderId="0" xfId="1" applyNumberFormat="1" applyFont="1" applyAlignment="1">
      <alignment horizontal="center" vertical="center"/>
    </xf>
    <xf numFmtId="167" fontId="3" fillId="0" borderId="0" xfId="1" applyNumberFormat="1" applyFont="1" applyAlignment="1">
      <alignment horizontal="center" vertical="center"/>
    </xf>
    <xf numFmtId="1" fontId="3" fillId="0" borderId="0" xfId="1" applyNumberFormat="1" applyFont="1" applyAlignment="1">
      <alignment horizontal="center" vertical="center"/>
    </xf>
    <xf numFmtId="1" fontId="26" fillId="0" borderId="0" xfId="1" applyNumberFormat="1" applyFont="1" applyAlignment="1">
      <alignment horizontal="center" vertical="center"/>
    </xf>
    <xf numFmtId="0" fontId="14" fillId="0" borderId="21" xfId="1" applyFont="1" applyBorder="1" applyAlignment="1">
      <alignment vertical="center" wrapText="1"/>
    </xf>
    <xf numFmtId="0" fontId="14" fillId="0" borderId="23" xfId="1" applyFont="1" applyBorder="1" applyAlignment="1">
      <alignment vertical="center" wrapText="1"/>
    </xf>
    <xf numFmtId="0" fontId="4" fillId="5" borderId="9" xfId="1" applyFont="1" applyFill="1" applyBorder="1" applyAlignment="1">
      <alignment horizontal="center" vertical="center"/>
    </xf>
    <xf numFmtId="0" fontId="13" fillId="0" borderId="0" xfId="1" applyFont="1" applyAlignment="1">
      <alignment horizontal="center"/>
    </xf>
    <xf numFmtId="165" fontId="7" fillId="6" borderId="0" xfId="1" applyNumberFormat="1" applyFont="1" applyFill="1" applyAlignment="1">
      <alignment horizontal="center" vertical="center"/>
    </xf>
    <xf numFmtId="1" fontId="7" fillId="6" borderId="0" xfId="1" applyNumberFormat="1" applyFont="1" applyFill="1" applyAlignment="1">
      <alignment horizontal="center" vertical="center"/>
    </xf>
    <xf numFmtId="167" fontId="7" fillId="6" borderId="0" xfId="1" applyNumberFormat="1" applyFont="1" applyFill="1" applyAlignment="1">
      <alignment horizontal="center" vertical="center"/>
    </xf>
    <xf numFmtId="0" fontId="15" fillId="0" borderId="0" xfId="1" applyFont="1" applyAlignment="1">
      <alignment horizontal="center" vertical="center" wrapText="1"/>
    </xf>
    <xf numFmtId="0" fontId="2" fillId="0" borderId="0" xfId="1" applyFont="1" applyAlignment="1">
      <alignment horizontal="center" vertical="center"/>
    </xf>
    <xf numFmtId="0" fontId="2" fillId="7" borderId="12" xfId="1" applyFont="1" applyFill="1" applyBorder="1" applyAlignment="1">
      <alignment horizontal="center" vertical="center"/>
    </xf>
    <xf numFmtId="164" fontId="3" fillId="0" borderId="0" xfId="1" applyNumberFormat="1" applyFont="1" applyAlignment="1">
      <alignment horizontal="center" vertical="center"/>
    </xf>
    <xf numFmtId="0" fontId="2" fillId="0" borderId="15" xfId="1" applyFont="1" applyBorder="1" applyAlignment="1">
      <alignment horizontal="center" vertical="center"/>
    </xf>
    <xf numFmtId="164" fontId="2" fillId="0" borderId="15" xfId="1" applyNumberFormat="1" applyFont="1" applyBorder="1" applyAlignment="1">
      <alignment horizontal="center" vertical="center"/>
    </xf>
    <xf numFmtId="164" fontId="2" fillId="0" borderId="24" xfId="1" applyNumberFormat="1" applyFont="1" applyBorder="1" applyAlignment="1">
      <alignment horizontal="center" vertical="center"/>
    </xf>
    <xf numFmtId="165" fontId="2" fillId="0" borderId="15" xfId="1" applyNumberFormat="1" applyFont="1" applyBorder="1" applyAlignment="1">
      <alignment horizontal="center" vertical="center"/>
    </xf>
    <xf numFmtId="165" fontId="2" fillId="0" borderId="24" xfId="1" applyNumberFormat="1" applyFont="1" applyBorder="1" applyAlignment="1">
      <alignment horizontal="center" vertical="center"/>
    </xf>
    <xf numFmtId="0" fontId="2" fillId="0" borderId="24" xfId="1" applyFont="1" applyBorder="1" applyAlignment="1">
      <alignment horizontal="center" vertical="center"/>
    </xf>
    <xf numFmtId="0" fontId="3" fillId="0" borderId="0" xfId="1" applyFont="1" applyAlignment="1">
      <alignment horizontal="center"/>
    </xf>
    <xf numFmtId="164" fontId="1" fillId="0" borderId="0" xfId="1" applyNumberFormat="1" applyAlignment="1">
      <alignment vertical="center"/>
    </xf>
  </cellXfs>
  <cellStyles count="2">
    <cellStyle name="Normal" xfId="0" builtinId="0"/>
    <cellStyle name="Normal 2" xfId="1" xr:uid="{00000000-0005-0000-0000-000006000000}"/>
  </cellStyles>
  <dxfs count="6">
    <dxf>
      <font>
        <b/>
        <color rgb="FFC00000"/>
      </font>
      <fill>
        <patternFill>
          <bgColor rgb="FFFCE4D6"/>
        </patternFill>
      </fill>
    </dxf>
    <dxf>
      <font>
        <b/>
        <color rgb="FF006100"/>
      </font>
      <fill>
        <patternFill>
          <bgColor rgb="FFE2F0D9"/>
        </patternFill>
      </fill>
    </dxf>
    <dxf>
      <font>
        <color rgb="FF666666"/>
      </font>
      <fill>
        <patternFill>
          <bgColor rgb="FFF2F2F2"/>
        </patternFill>
      </fill>
    </dxf>
    <dxf>
      <font>
        <b/>
        <color rgb="FF006100"/>
      </font>
      <fill>
        <patternFill>
          <bgColor rgb="FFE2F0D9"/>
        </patternFill>
      </fill>
    </dxf>
    <dxf>
      <font>
        <b/>
        <color rgb="FFC00000"/>
      </font>
      <fill>
        <patternFill>
          <bgColor rgb="FFFCE4D6"/>
        </patternFill>
      </fill>
    </dxf>
    <dxf>
      <font>
        <b/>
        <color rgb="FF006100"/>
      </font>
      <fill>
        <patternFill>
          <bgColor rgb="FFE2F0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C9D6"/>
      <rgbColor rgb="FF808080"/>
      <rgbColor rgb="FF5B9BD5"/>
      <rgbColor rgb="FF993366"/>
      <rgbColor rgb="FFFFF2CC"/>
      <rgbColor rgb="FFD9EA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EAF3F8"/>
      <rgbColor rgb="FFE2F0D9"/>
      <rgbColor rgb="FFF2F2F2"/>
      <rgbColor rgb="FF99CCFF"/>
      <rgbColor rgb="FFFF99CC"/>
      <rgbColor rgb="FFCC99FF"/>
      <rgbColor rgb="FFFCE4D6"/>
      <rgbColor rgb="FF3366FF"/>
      <rgbColor rgb="FF33CCCC"/>
      <rgbColor rgb="FF99CC00"/>
      <rgbColor rgb="FFFFCC00"/>
      <rgbColor rgb="FFFF9900"/>
      <rgbColor rgb="FFFF6600"/>
      <rgbColor rgb="FF666666"/>
      <rgbColor rgb="FFA6A6A6"/>
      <rgbColor rgb="FF003366"/>
      <rgbColor rgb="FF339966"/>
      <rgbColor rgb="FF006100"/>
      <rgbColor rgb="FF333300"/>
      <rgbColor rgb="FF993300"/>
      <rgbColor rgb="FF993366"/>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showGridLines="0" topLeftCell="A28" zoomScaleNormal="100" workbookViewId="0">
      <selection activeCell="G55" sqref="G55"/>
    </sheetView>
  </sheetViews>
  <sheetFormatPr defaultColWidth="8.6328125" defaultRowHeight="14.5" x14ac:dyDescent="0.35"/>
  <cols>
    <col min="1" max="1" width="28.453125" customWidth="1"/>
    <col min="2" max="2" width="3" customWidth="1"/>
    <col min="3" max="3" width="7.26953125" customWidth="1"/>
    <col min="4" max="4" width="8.1796875" customWidth="1"/>
    <col min="5" max="5" width="7.26953125" customWidth="1"/>
    <col min="6" max="6" width="17.90625" customWidth="1"/>
    <col min="7" max="7" width="8.1796875" style="15" customWidth="1"/>
    <col min="8" max="10" width="8.7265625" customWidth="1"/>
    <col min="11" max="11" width="9" customWidth="1"/>
    <col min="12" max="12" width="9.90625" customWidth="1"/>
    <col min="13" max="13" width="3" customWidth="1"/>
    <col min="14" max="14" width="17.81640625" customWidth="1"/>
    <col min="15" max="15" width="9.81640625" customWidth="1"/>
  </cols>
  <sheetData>
    <row r="1" spans="1:16" ht="12" customHeight="1" x14ac:dyDescent="0.3">
      <c r="A1" s="16" t="s">
        <v>0</v>
      </c>
      <c r="B1" s="17"/>
      <c r="C1" s="18" t="s">
        <v>1</v>
      </c>
      <c r="D1" s="18" t="s">
        <v>2</v>
      </c>
      <c r="E1" s="18" t="s">
        <v>3</v>
      </c>
      <c r="F1" s="18" t="s">
        <v>4</v>
      </c>
      <c r="G1" s="19" t="s">
        <v>5</v>
      </c>
      <c r="H1" s="18" t="s">
        <v>6</v>
      </c>
      <c r="I1" s="18" t="s">
        <v>7</v>
      </c>
      <c r="J1" s="18" t="s">
        <v>8</v>
      </c>
      <c r="K1" s="18" t="s">
        <v>9</v>
      </c>
      <c r="L1" s="18" t="s">
        <v>10</v>
      </c>
      <c r="M1" s="17"/>
      <c r="N1" s="17"/>
      <c r="O1" s="17"/>
      <c r="P1" s="20"/>
    </row>
    <row r="2" spans="1:16" ht="18" customHeight="1" x14ac:dyDescent="0.25">
      <c r="A2" s="21" t="s">
        <v>11</v>
      </c>
      <c r="B2" s="21"/>
      <c r="C2" s="22" t="s">
        <v>12</v>
      </c>
      <c r="D2" s="22" t="s">
        <v>12</v>
      </c>
      <c r="E2" s="22" t="s">
        <v>12</v>
      </c>
      <c r="F2" s="22" t="s">
        <v>13</v>
      </c>
      <c r="G2" s="23" t="s">
        <v>14</v>
      </c>
      <c r="H2" s="22" t="s">
        <v>14</v>
      </c>
      <c r="I2" s="22" t="s">
        <v>14</v>
      </c>
      <c r="J2" s="22" t="s">
        <v>14</v>
      </c>
      <c r="K2" s="22" t="s">
        <v>14</v>
      </c>
      <c r="L2" s="22" t="s">
        <v>14</v>
      </c>
      <c r="M2" s="14"/>
      <c r="N2" s="14"/>
      <c r="O2" s="14"/>
    </row>
    <row r="3" spans="1:16" ht="12" customHeight="1" x14ac:dyDescent="0.3">
      <c r="A3" s="24" t="s">
        <v>15</v>
      </c>
      <c r="B3" s="17"/>
      <c r="C3" s="25">
        <v>12</v>
      </c>
      <c r="D3" s="25">
        <v>12</v>
      </c>
      <c r="E3" s="25">
        <v>12</v>
      </c>
      <c r="F3" s="25">
        <v>8</v>
      </c>
      <c r="G3" s="26">
        <v>4</v>
      </c>
      <c r="H3" s="27">
        <v>12</v>
      </c>
      <c r="I3" s="27">
        <v>12</v>
      </c>
      <c r="J3" s="27">
        <v>12</v>
      </c>
      <c r="K3" s="27">
        <v>12</v>
      </c>
      <c r="L3" s="27">
        <v>12</v>
      </c>
      <c r="M3" s="17"/>
      <c r="N3" s="28" t="s">
        <v>16</v>
      </c>
      <c r="O3" s="29" t="s">
        <v>17</v>
      </c>
      <c r="P3" s="20"/>
    </row>
    <row r="4" spans="1:16" ht="12" customHeight="1" x14ac:dyDescent="0.3">
      <c r="A4" s="24"/>
      <c r="B4" s="17"/>
      <c r="C4" s="30"/>
      <c r="D4" s="30"/>
      <c r="E4" s="30"/>
      <c r="F4" s="30"/>
      <c r="G4" s="31"/>
      <c r="H4" s="30"/>
      <c r="I4" s="30"/>
      <c r="J4" s="30"/>
      <c r="K4" s="30"/>
      <c r="L4" s="30"/>
      <c r="M4" s="17"/>
      <c r="N4" s="32" t="s">
        <v>18</v>
      </c>
      <c r="O4" s="33" t="s">
        <v>19</v>
      </c>
      <c r="P4" s="20"/>
    </row>
    <row r="5" spans="1:16" ht="18" customHeight="1" x14ac:dyDescent="0.3">
      <c r="A5" s="13" t="s">
        <v>20</v>
      </c>
      <c r="B5" s="13"/>
      <c r="C5" s="13"/>
      <c r="D5" s="13"/>
      <c r="E5" s="13"/>
      <c r="F5" s="13"/>
      <c r="G5" s="13"/>
      <c r="H5" s="13"/>
      <c r="I5" s="13"/>
      <c r="J5" s="13"/>
      <c r="K5" s="13"/>
      <c r="L5" s="13"/>
      <c r="M5" s="17"/>
      <c r="N5" s="32" t="s">
        <v>21</v>
      </c>
      <c r="O5" s="34" t="s">
        <v>22</v>
      </c>
      <c r="P5" s="20"/>
    </row>
    <row r="6" spans="1:16" ht="12" customHeight="1" x14ac:dyDescent="0.3">
      <c r="A6" s="35"/>
      <c r="B6" s="17"/>
      <c r="C6" s="30"/>
      <c r="D6" s="30"/>
      <c r="E6" s="30"/>
      <c r="F6" s="30"/>
      <c r="G6" s="31"/>
      <c r="H6" s="30"/>
      <c r="I6" s="30"/>
      <c r="J6" s="30"/>
      <c r="K6" s="30"/>
      <c r="L6" s="30"/>
      <c r="M6" s="17"/>
      <c r="N6" s="36" t="s">
        <v>23</v>
      </c>
      <c r="O6" s="37" t="s">
        <v>24</v>
      </c>
      <c r="P6" s="20"/>
    </row>
    <row r="7" spans="1:16" ht="12.75" customHeight="1" x14ac:dyDescent="0.25">
      <c r="A7" s="12" t="s">
        <v>25</v>
      </c>
      <c r="B7" s="12"/>
      <c r="C7" s="12"/>
      <c r="D7" s="12"/>
      <c r="E7" s="12"/>
      <c r="F7" s="12"/>
      <c r="G7" s="12"/>
      <c r="H7" s="12"/>
      <c r="I7" s="12"/>
      <c r="J7" s="12"/>
      <c r="K7" s="12"/>
      <c r="L7" s="12"/>
      <c r="M7" s="17"/>
      <c r="N7" s="38"/>
      <c r="O7" s="38"/>
    </row>
    <row r="8" spans="1:16" ht="12" customHeight="1" x14ac:dyDescent="0.3">
      <c r="A8" s="35" t="s">
        <v>26</v>
      </c>
      <c r="B8" s="30"/>
      <c r="C8" s="39">
        <f>Revenue_B!C11</f>
        <v>304</v>
      </c>
      <c r="D8" s="39">
        <f>Revenue_B!D11</f>
        <v>84.79</v>
      </c>
      <c r="E8" s="39">
        <f>Revenue_B!E11</f>
        <v>898.42</v>
      </c>
      <c r="F8" s="39">
        <f>Revenue_B!F11</f>
        <v>512.15</v>
      </c>
      <c r="G8" s="40">
        <f>Revenue_B!G11</f>
        <v>1037.625</v>
      </c>
      <c r="H8" s="39">
        <f>Revenue_B!H11</f>
        <v>54703.40625</v>
      </c>
      <c r="I8" s="39">
        <f>Revenue_B!I11</f>
        <v>229476.32437499997</v>
      </c>
      <c r="J8" s="39">
        <f>Revenue_B!J11</f>
        <v>673264.93656093744</v>
      </c>
      <c r="K8" s="39">
        <f>Revenue_B!K11</f>
        <v>1650280.4730665029</v>
      </c>
      <c r="L8" s="39">
        <f>Revenue_B!L11</f>
        <v>3566760.872428433</v>
      </c>
      <c r="M8" s="17"/>
      <c r="N8" s="17"/>
      <c r="O8" s="17"/>
      <c r="P8" s="20"/>
    </row>
    <row r="9" spans="1:16" ht="12" customHeight="1" x14ac:dyDescent="0.3">
      <c r="A9" s="35" t="s">
        <v>27</v>
      </c>
      <c r="B9" s="30"/>
      <c r="C9" s="39"/>
      <c r="D9" s="39"/>
      <c r="E9" s="39"/>
      <c r="F9" s="39"/>
      <c r="G9" s="40"/>
      <c r="H9" s="39">
        <f>Revenue_T!D12</f>
        <v>6649.5812967316651</v>
      </c>
      <c r="I9" s="39">
        <f>Revenue_T!E12</f>
        <v>44216.931421843597</v>
      </c>
      <c r="J9" s="39">
        <f>Revenue_T!F12</f>
        <v>294024.08018155786</v>
      </c>
      <c r="K9" s="39">
        <f>Revenue_T!G12</f>
        <v>1955137.024364019</v>
      </c>
      <c r="L9" s="39">
        <f>Revenue_T!H12</f>
        <v>13000842.589758582</v>
      </c>
      <c r="M9" s="17"/>
      <c r="N9" s="17"/>
      <c r="O9" s="17"/>
      <c r="P9" s="20"/>
    </row>
    <row r="10" spans="1:16" ht="12" customHeight="1" x14ac:dyDescent="0.3">
      <c r="A10" s="35" t="s">
        <v>28</v>
      </c>
      <c r="B10" s="30"/>
      <c r="C10" s="41"/>
      <c r="D10" s="41"/>
      <c r="E10" s="41"/>
      <c r="F10" s="41"/>
      <c r="G10" s="42"/>
      <c r="H10" s="41">
        <f>IF(OR(H8="",H9=""),"",H9-H8)</f>
        <v>-48053.824953268333</v>
      </c>
      <c r="I10" s="41">
        <f>IF(OR(I8="",I9=""),"",I9-I8)</f>
        <v>-185259.39295315638</v>
      </c>
      <c r="J10" s="41">
        <f>IF(OR(J8="",J9=""),"",J9-J8)</f>
        <v>-379240.85637937958</v>
      </c>
      <c r="K10" s="41">
        <f>IF(OR(K8="",K9=""),"",K9-K8)</f>
        <v>304856.5512975161</v>
      </c>
      <c r="L10" s="41">
        <f>IF(OR(L8="",L9=""),"",L9-L8)</f>
        <v>9434081.7173301503</v>
      </c>
      <c r="M10" s="17"/>
      <c r="N10" s="17"/>
      <c r="O10" s="17"/>
      <c r="P10" s="20"/>
    </row>
    <row r="11" spans="1:16" ht="12" customHeight="1" x14ac:dyDescent="0.3">
      <c r="A11" s="35" t="s">
        <v>29</v>
      </c>
      <c r="B11" s="30"/>
      <c r="C11" s="43"/>
      <c r="D11" s="43"/>
      <c r="E11" s="43"/>
      <c r="F11" s="43"/>
      <c r="G11" s="44"/>
      <c r="H11" s="43">
        <f>IF(OR(H8="",H8=0,H9=""),"",H9/H8)</f>
        <v>0.12155698799344264</v>
      </c>
      <c r="I11" s="43">
        <f>IF(OR(I8="",I8=0,I9=""),"",I9/I8)</f>
        <v>0.19268624570431178</v>
      </c>
      <c r="J11" s="43">
        <f>IF(OR(J8="",J8=0,J9=""),"",J9/J8)</f>
        <v>0.43671378712137288</v>
      </c>
      <c r="K11" s="43">
        <f>IF(OR(K8="",K8=0,K9=""),"",K9/K8)</f>
        <v>1.1847301451316579</v>
      </c>
      <c r="L11" s="43">
        <f>IF(OR(L8="",L8=0,L9=""),"",L9/L8)</f>
        <v>3.6449997784423784</v>
      </c>
      <c r="M11" s="17"/>
      <c r="N11" s="17"/>
      <c r="O11" s="17"/>
      <c r="P11" s="20"/>
    </row>
    <row r="12" spans="1:16" ht="12" customHeight="1" x14ac:dyDescent="0.3">
      <c r="A12" s="35"/>
      <c r="B12" s="17"/>
      <c r="C12" s="30"/>
      <c r="D12" s="30"/>
      <c r="E12" s="30"/>
      <c r="F12" s="30"/>
      <c r="G12" s="31"/>
      <c r="H12" s="30"/>
      <c r="I12" s="30"/>
      <c r="J12" s="30"/>
      <c r="K12" s="30"/>
      <c r="L12" s="30"/>
      <c r="M12" s="17"/>
      <c r="N12" s="17"/>
      <c r="O12" s="17"/>
      <c r="P12" s="20"/>
    </row>
    <row r="13" spans="1:16" ht="12.75" customHeight="1" x14ac:dyDescent="0.3">
      <c r="A13" s="12" t="s">
        <v>30</v>
      </c>
      <c r="B13" s="12"/>
      <c r="C13" s="12"/>
      <c r="D13" s="12"/>
      <c r="E13" s="12"/>
      <c r="F13" s="12"/>
      <c r="G13" s="12"/>
      <c r="H13" s="12"/>
      <c r="I13" s="12"/>
      <c r="J13" s="12"/>
      <c r="K13" s="12"/>
      <c r="L13" s="12"/>
      <c r="M13" s="17"/>
      <c r="N13" s="17"/>
      <c r="O13" s="17"/>
      <c r="P13" s="20"/>
    </row>
    <row r="14" spans="1:16" ht="12" customHeight="1" x14ac:dyDescent="0.3">
      <c r="A14" s="35" t="s">
        <v>31</v>
      </c>
      <c r="B14" s="17"/>
      <c r="C14" s="39">
        <f>Revenue_B!C11</f>
        <v>304</v>
      </c>
      <c r="D14" s="39">
        <f>Revenue_B!D11</f>
        <v>84.79</v>
      </c>
      <c r="E14" s="39">
        <f>Revenue_B!E11</f>
        <v>898.42</v>
      </c>
      <c r="F14" s="39">
        <f>Revenue_B!F11</f>
        <v>512.15</v>
      </c>
      <c r="G14" s="40">
        <f>Revenue_B!G11</f>
        <v>1037.625</v>
      </c>
      <c r="H14" s="39">
        <f>Revenue_B!H11</f>
        <v>54703.40625</v>
      </c>
      <c r="I14" s="39">
        <f>Revenue_B!I11</f>
        <v>229476.32437499997</v>
      </c>
      <c r="J14" s="39">
        <f>Revenue_B!J11</f>
        <v>673264.93656093744</v>
      </c>
      <c r="K14" s="39">
        <f>Revenue_B!K11</f>
        <v>1650280.4730665029</v>
      </c>
      <c r="L14" s="39">
        <f>Revenue_B!L11</f>
        <v>3566760.872428433</v>
      </c>
      <c r="M14" s="17"/>
      <c r="N14" s="17"/>
      <c r="O14" s="17"/>
      <c r="P14" s="20"/>
    </row>
    <row r="15" spans="1:16" ht="12" customHeight="1" x14ac:dyDescent="0.3">
      <c r="A15" s="35" t="s">
        <v>32</v>
      </c>
      <c r="B15" s="17"/>
      <c r="C15" s="39">
        <f>IF(C14="","",Expenses_Y!C65)</f>
        <v>0</v>
      </c>
      <c r="D15" s="39">
        <f>IF(D14="","",Expenses_Y!D65)</f>
        <v>0</v>
      </c>
      <c r="E15" s="39">
        <f>IF(E14="","",Expenses_Y!E65)</f>
        <v>0</v>
      </c>
      <c r="F15" s="39">
        <f>IF(F14="","",Expenses_Y!F65)</f>
        <v>0</v>
      </c>
      <c r="G15" s="40">
        <f>IF(G14="","",Expenses_Y!G65)</f>
        <v>0</v>
      </c>
      <c r="H15" s="39">
        <f>IF(H14="","",Expenses_Y!H65)</f>
        <v>0</v>
      </c>
      <c r="I15" s="39">
        <f>IF(I14="","",Expenses_Y!I65)</f>
        <v>0</v>
      </c>
      <c r="J15" s="39">
        <f>IF(J14="","",Expenses_Y!J65)</f>
        <v>0</v>
      </c>
      <c r="K15" s="39">
        <f>IF(K14="","",Expenses_Y!K65)</f>
        <v>0</v>
      </c>
      <c r="L15" s="39">
        <f>IF(L14="","",Expenses_Y!L65)</f>
        <v>0</v>
      </c>
      <c r="M15" s="17"/>
      <c r="N15" s="17"/>
      <c r="O15" s="17"/>
      <c r="P15" s="20"/>
    </row>
    <row r="16" spans="1:16" ht="12" customHeight="1" x14ac:dyDescent="0.3">
      <c r="A16" s="45" t="s">
        <v>33</v>
      </c>
      <c r="B16" s="46"/>
      <c r="C16" s="47">
        <f t="shared" ref="C16:L16" si="0">IF(C14="","",C14-C15)</f>
        <v>304</v>
      </c>
      <c r="D16" s="47">
        <f t="shared" si="0"/>
        <v>84.79</v>
      </c>
      <c r="E16" s="47">
        <f t="shared" si="0"/>
        <v>898.42</v>
      </c>
      <c r="F16" s="47">
        <f t="shared" si="0"/>
        <v>512.15</v>
      </c>
      <c r="G16" s="48">
        <f t="shared" si="0"/>
        <v>1037.625</v>
      </c>
      <c r="H16" s="47">
        <f t="shared" si="0"/>
        <v>54703.40625</v>
      </c>
      <c r="I16" s="47">
        <f t="shared" si="0"/>
        <v>229476.32437499997</v>
      </c>
      <c r="J16" s="47">
        <f t="shared" si="0"/>
        <v>673264.93656093744</v>
      </c>
      <c r="K16" s="47">
        <f t="shared" si="0"/>
        <v>1650280.4730665029</v>
      </c>
      <c r="L16" s="47">
        <f t="shared" si="0"/>
        <v>3566760.872428433</v>
      </c>
      <c r="M16" s="17"/>
      <c r="N16" s="17"/>
      <c r="O16" s="17"/>
      <c r="P16" s="20"/>
    </row>
    <row r="17" spans="1:16" ht="12" customHeight="1" x14ac:dyDescent="0.3">
      <c r="A17" s="35" t="s">
        <v>34</v>
      </c>
      <c r="B17" s="17"/>
      <c r="C17" s="49">
        <f t="shared" ref="C17:L17" si="1">IF(OR(C14="",C14=0,C16=""),"",C16/C14)</f>
        <v>1</v>
      </c>
      <c r="D17" s="49">
        <f t="shared" si="1"/>
        <v>1</v>
      </c>
      <c r="E17" s="49">
        <f t="shared" si="1"/>
        <v>1</v>
      </c>
      <c r="F17" s="49">
        <f t="shared" si="1"/>
        <v>1</v>
      </c>
      <c r="G17" s="50">
        <f t="shared" si="1"/>
        <v>1</v>
      </c>
      <c r="H17" s="49">
        <f t="shared" si="1"/>
        <v>1</v>
      </c>
      <c r="I17" s="49">
        <f t="shared" si="1"/>
        <v>1</v>
      </c>
      <c r="J17" s="49">
        <f t="shared" si="1"/>
        <v>1</v>
      </c>
      <c r="K17" s="49">
        <f t="shared" si="1"/>
        <v>1</v>
      </c>
      <c r="L17" s="49">
        <f t="shared" si="1"/>
        <v>1</v>
      </c>
      <c r="M17" s="17"/>
      <c r="N17" s="17"/>
      <c r="O17" s="17"/>
      <c r="P17" s="20"/>
    </row>
    <row r="18" spans="1:16" ht="12" customHeight="1" x14ac:dyDescent="0.3">
      <c r="A18" s="35"/>
      <c r="B18" s="17"/>
      <c r="C18" s="30"/>
      <c r="D18" s="30"/>
      <c r="E18" s="30"/>
      <c r="F18" s="30"/>
      <c r="G18" s="31"/>
      <c r="H18" s="30"/>
      <c r="I18" s="30"/>
      <c r="J18" s="30"/>
      <c r="K18" s="30"/>
      <c r="L18" s="30"/>
      <c r="M18" s="17"/>
      <c r="N18" s="17"/>
      <c r="O18" s="17"/>
      <c r="P18" s="20"/>
    </row>
    <row r="19" spans="1:16" ht="12" customHeight="1" x14ac:dyDescent="0.3">
      <c r="A19" s="35" t="s">
        <v>35</v>
      </c>
      <c r="B19" s="17"/>
      <c r="C19" s="39">
        <f>IF(C14="","",Expenses_Y!C37)</f>
        <v>0</v>
      </c>
      <c r="D19" s="39">
        <f>IF(D14="","",Expenses_Y!D37)</f>
        <v>0</v>
      </c>
      <c r="E19" s="39">
        <f>IF(E14="","",Expenses_Y!E37)</f>
        <v>0</v>
      </c>
      <c r="F19" s="39">
        <f>IF(F14="","",Expenses_Y!F37)</f>
        <v>0</v>
      </c>
      <c r="G19" s="40">
        <f>IF(G14="","",Expenses_Y!G37)</f>
        <v>33333.333333333336</v>
      </c>
      <c r="H19" s="39">
        <f>IF(H14="","",Expenses_Y!H37)</f>
        <v>210000</v>
      </c>
      <c r="I19" s="39">
        <f>IF(I14="","",Expenses_Y!I37)</f>
        <v>371000</v>
      </c>
      <c r="J19" s="39">
        <f>IF(J14="","",Expenses_Y!J37)</f>
        <v>833100</v>
      </c>
      <c r="K19" s="39">
        <f>IF(K14="","",Expenses_Y!K37)</f>
        <v>1046410</v>
      </c>
      <c r="L19" s="39">
        <f>IF(L14="","",Expenses_Y!L37)</f>
        <v>1061051</v>
      </c>
      <c r="M19" s="17"/>
      <c r="N19" s="17"/>
      <c r="O19" s="17"/>
      <c r="P19" s="20"/>
    </row>
    <row r="20" spans="1:16" ht="12" customHeight="1" x14ac:dyDescent="0.3">
      <c r="A20" s="35" t="s">
        <v>36</v>
      </c>
      <c r="B20" s="17"/>
      <c r="C20" s="39">
        <f>IF(C14="","",Expenses_Y!C43)</f>
        <v>2128</v>
      </c>
      <c r="D20" s="39">
        <f>IF(D14="","",Expenses_Y!D43)</f>
        <v>2128</v>
      </c>
      <c r="E20" s="39">
        <f>IF(E14="","",Expenses_Y!E43)</f>
        <v>2128</v>
      </c>
      <c r="F20" s="39">
        <f>IF(F14="","",Expenses_Y!F43)</f>
        <v>528</v>
      </c>
      <c r="G20" s="40">
        <f>IF(G14="","",Expenses_Y!G43)</f>
        <v>0</v>
      </c>
      <c r="H20" s="39">
        <f>IF(H14="","",Expenses_Y!H43)</f>
        <v>0</v>
      </c>
      <c r="I20" s="39">
        <f>IF(I14="","",Expenses_Y!I43)</f>
        <v>0</v>
      </c>
      <c r="J20" s="39">
        <f>IF(J14="","",Expenses_Y!J43)</f>
        <v>0</v>
      </c>
      <c r="K20" s="39">
        <f>IF(K14="","",Expenses_Y!K43)</f>
        <v>0</v>
      </c>
      <c r="L20" s="39">
        <f>IF(L14="","",Expenses_Y!L43)</f>
        <v>0</v>
      </c>
      <c r="M20" s="17"/>
      <c r="N20" s="17"/>
      <c r="O20" s="17"/>
      <c r="P20" s="20"/>
    </row>
    <row r="21" spans="1:16" ht="12" customHeight="1" x14ac:dyDescent="0.3">
      <c r="A21" s="35" t="s">
        <v>37</v>
      </c>
      <c r="B21" s="17"/>
      <c r="C21" s="39">
        <f>IF(C14="","",Expenses_Y!C51)</f>
        <v>0</v>
      </c>
      <c r="D21" s="39">
        <f>IF(D14="","",Expenses_Y!D51)</f>
        <v>0</v>
      </c>
      <c r="E21" s="39">
        <f>IF(E14="","",Expenses_Y!E51)</f>
        <v>0</v>
      </c>
      <c r="F21" s="39">
        <f>IF(F14="","",Expenses_Y!F51)</f>
        <v>0</v>
      </c>
      <c r="G21" s="40">
        <f>IF(G14="","",Expenses_Y!G51)</f>
        <v>5000</v>
      </c>
      <c r="H21" s="39">
        <f>IF(H14="","",Expenses_Y!H51)</f>
        <v>10000</v>
      </c>
      <c r="I21" s="39">
        <f>IF(I14="","",Expenses_Y!I51)</f>
        <v>15000</v>
      </c>
      <c r="J21" s="39">
        <f>IF(J14="","",Expenses_Y!J51)</f>
        <v>20000</v>
      </c>
      <c r="K21" s="39">
        <f>IF(K14="","",Expenses_Y!K51)</f>
        <v>25000</v>
      </c>
      <c r="L21" s="39">
        <f>IF(L14="","",Expenses_Y!L51)</f>
        <v>0</v>
      </c>
      <c r="M21" s="17"/>
      <c r="N21" s="17"/>
      <c r="O21" s="17"/>
      <c r="P21" s="20"/>
    </row>
    <row r="22" spans="1:16" ht="12" customHeight="1" x14ac:dyDescent="0.3">
      <c r="A22" s="35" t="s">
        <v>38</v>
      </c>
      <c r="B22" s="17"/>
      <c r="C22" s="39">
        <f>IF(C14="","",Expenses_Y!C59)</f>
        <v>500</v>
      </c>
      <c r="D22" s="39">
        <f>IF(D14="","",Expenses_Y!D59)</f>
        <v>500</v>
      </c>
      <c r="E22" s="39">
        <f>IF(E14="","",Expenses_Y!E59)</f>
        <v>500</v>
      </c>
      <c r="F22" s="39">
        <f>IF(F14="","",Expenses_Y!F59)</f>
        <v>0</v>
      </c>
      <c r="G22" s="40">
        <f>IF(G14="","",Expenses_Y!G59)</f>
        <v>0</v>
      </c>
      <c r="H22" s="39">
        <f>IF(H14="","",Expenses_Y!H59)</f>
        <v>0</v>
      </c>
      <c r="I22" s="39">
        <f>IF(I14="","",Expenses_Y!I59)</f>
        <v>0</v>
      </c>
      <c r="J22" s="39">
        <f>IF(J14="","",Expenses_Y!J59)</f>
        <v>0</v>
      </c>
      <c r="K22" s="39">
        <f>IF(K14="","",Expenses_Y!K59)</f>
        <v>0</v>
      </c>
      <c r="L22" s="39">
        <f>IF(L14="","",Expenses_Y!L59)</f>
        <v>0</v>
      </c>
      <c r="M22" s="17"/>
      <c r="N22" s="17"/>
      <c r="O22" s="17"/>
      <c r="P22" s="20"/>
    </row>
    <row r="23" spans="1:16" ht="12" customHeight="1" x14ac:dyDescent="0.3">
      <c r="A23" s="45" t="s">
        <v>39</v>
      </c>
      <c r="B23" s="46"/>
      <c r="C23" s="47">
        <f t="shared" ref="C23:L23" si="2">IF(C14="","",SUM(C19:C22))</f>
        <v>2628</v>
      </c>
      <c r="D23" s="47">
        <f t="shared" si="2"/>
        <v>2628</v>
      </c>
      <c r="E23" s="47">
        <f t="shared" si="2"/>
        <v>2628</v>
      </c>
      <c r="F23" s="47">
        <f t="shared" si="2"/>
        <v>528</v>
      </c>
      <c r="G23" s="48">
        <f t="shared" si="2"/>
        <v>38333.333333333336</v>
      </c>
      <c r="H23" s="47">
        <f t="shared" si="2"/>
        <v>220000</v>
      </c>
      <c r="I23" s="47">
        <f t="shared" si="2"/>
        <v>386000</v>
      </c>
      <c r="J23" s="47">
        <f t="shared" si="2"/>
        <v>853100</v>
      </c>
      <c r="K23" s="47">
        <f t="shared" si="2"/>
        <v>1071410</v>
      </c>
      <c r="L23" s="47">
        <f t="shared" si="2"/>
        <v>1061051</v>
      </c>
      <c r="M23" s="17"/>
      <c r="N23" s="17"/>
      <c r="O23" s="17"/>
      <c r="P23" s="20"/>
    </row>
    <row r="24" spans="1:16" ht="12" customHeight="1" x14ac:dyDescent="0.3">
      <c r="A24" s="35"/>
      <c r="B24" s="17"/>
      <c r="C24" s="30"/>
      <c r="D24" s="30"/>
      <c r="E24" s="30"/>
      <c r="F24" s="30"/>
      <c r="G24" s="31"/>
      <c r="H24" s="30"/>
      <c r="I24" s="30"/>
      <c r="J24" s="30"/>
      <c r="K24" s="30"/>
      <c r="L24" s="30"/>
      <c r="M24" s="17"/>
      <c r="N24" s="17"/>
      <c r="O24" s="17"/>
      <c r="P24" s="20"/>
    </row>
    <row r="25" spans="1:16" ht="12" customHeight="1" x14ac:dyDescent="0.3">
      <c r="A25" s="45" t="s">
        <v>40</v>
      </c>
      <c r="B25" s="46"/>
      <c r="C25" s="47">
        <f t="shared" ref="C25:L25" si="3">IF(C14="","",C16-C23)</f>
        <v>-2324</v>
      </c>
      <c r="D25" s="47">
        <f t="shared" si="3"/>
        <v>-2543.21</v>
      </c>
      <c r="E25" s="47">
        <f t="shared" si="3"/>
        <v>-1729.58</v>
      </c>
      <c r="F25" s="47">
        <f t="shared" si="3"/>
        <v>-15.850000000000023</v>
      </c>
      <c r="G25" s="48">
        <f t="shared" si="3"/>
        <v>-37295.708333333336</v>
      </c>
      <c r="H25" s="47">
        <f t="shared" si="3"/>
        <v>-165296.59375</v>
      </c>
      <c r="I25" s="47">
        <f t="shared" si="3"/>
        <v>-156523.67562500003</v>
      </c>
      <c r="J25" s="47">
        <f t="shared" si="3"/>
        <v>-179835.06343906256</v>
      </c>
      <c r="K25" s="47">
        <f t="shared" si="3"/>
        <v>578870.47306650295</v>
      </c>
      <c r="L25" s="47">
        <f t="shared" si="3"/>
        <v>2505709.872428433</v>
      </c>
      <c r="M25" s="17"/>
      <c r="N25" s="17"/>
      <c r="O25" s="17"/>
      <c r="P25" s="20"/>
    </row>
    <row r="26" spans="1:16" ht="12" customHeight="1" x14ac:dyDescent="0.3">
      <c r="A26" s="35" t="s">
        <v>41</v>
      </c>
      <c r="B26" s="17"/>
      <c r="C26" s="49">
        <f t="shared" ref="C26:L26" si="4">IF(OR(C14="",C14=0,C25=""),"",C25/C14)</f>
        <v>-7.6447368421052628</v>
      </c>
      <c r="D26" s="49">
        <f t="shared" si="4"/>
        <v>-29.994221016629318</v>
      </c>
      <c r="E26" s="49">
        <f t="shared" si="4"/>
        <v>-1.9251352374167985</v>
      </c>
      <c r="F26" s="49">
        <f t="shared" si="4"/>
        <v>-3.0947964463536121E-2</v>
      </c>
      <c r="G26" s="50">
        <f t="shared" si="4"/>
        <v>-35.943340159820103</v>
      </c>
      <c r="H26" s="49">
        <f t="shared" si="4"/>
        <v>-3.0216874063486676</v>
      </c>
      <c r="I26" s="49">
        <f t="shared" si="4"/>
        <v>-0.68209073877798398</v>
      </c>
      <c r="J26" s="49">
        <f t="shared" si="4"/>
        <v>-0.2671089101382092</v>
      </c>
      <c r="K26" s="49">
        <f t="shared" si="4"/>
        <v>0.3507709643990774</v>
      </c>
      <c r="L26" s="49">
        <f t="shared" si="4"/>
        <v>0.7025169227906265</v>
      </c>
      <c r="M26" s="17"/>
      <c r="N26" s="17"/>
      <c r="O26" s="17"/>
      <c r="P26" s="20"/>
    </row>
    <row r="27" spans="1:16" ht="12" customHeight="1" x14ac:dyDescent="0.3">
      <c r="A27" s="35"/>
      <c r="B27" s="17"/>
      <c r="C27" s="30"/>
      <c r="D27" s="30"/>
      <c r="E27" s="30"/>
      <c r="F27" s="30"/>
      <c r="G27" s="31"/>
      <c r="H27" s="30"/>
      <c r="I27" s="30"/>
      <c r="J27" s="30"/>
      <c r="K27" s="30"/>
      <c r="L27" s="30"/>
      <c r="M27" s="17"/>
      <c r="N27" s="17"/>
      <c r="O27" s="17"/>
      <c r="P27" s="20"/>
    </row>
    <row r="28" spans="1:16" ht="12" customHeight="1" x14ac:dyDescent="0.3">
      <c r="A28" s="45" t="s">
        <v>42</v>
      </c>
      <c r="B28" s="46"/>
      <c r="C28" s="47">
        <f t="shared" ref="C28:L28" si="5">IF(C25="","",C25)</f>
        <v>-2324</v>
      </c>
      <c r="D28" s="47">
        <f t="shared" si="5"/>
        <v>-2543.21</v>
      </c>
      <c r="E28" s="47">
        <f t="shared" si="5"/>
        <v>-1729.58</v>
      </c>
      <c r="F28" s="47">
        <f t="shared" si="5"/>
        <v>-15.850000000000023</v>
      </c>
      <c r="G28" s="48">
        <f t="shared" si="5"/>
        <v>-37295.708333333336</v>
      </c>
      <c r="H28" s="47">
        <f t="shared" si="5"/>
        <v>-165296.59375</v>
      </c>
      <c r="I28" s="47">
        <f t="shared" si="5"/>
        <v>-156523.67562500003</v>
      </c>
      <c r="J28" s="47">
        <f t="shared" si="5"/>
        <v>-179835.06343906256</v>
      </c>
      <c r="K28" s="47">
        <f t="shared" si="5"/>
        <v>578870.47306650295</v>
      </c>
      <c r="L28" s="47">
        <f t="shared" si="5"/>
        <v>2505709.872428433</v>
      </c>
      <c r="M28" s="17"/>
      <c r="N28" s="17"/>
      <c r="O28" s="17"/>
      <c r="P28" s="20"/>
    </row>
    <row r="29" spans="1:16" ht="12" customHeight="1" x14ac:dyDescent="0.3">
      <c r="A29" s="35" t="s">
        <v>43</v>
      </c>
      <c r="B29" s="17"/>
      <c r="C29" s="41">
        <f t="shared" ref="C29:L29" si="6">IF(C28="","",MAX(0,C28*$G$55))</f>
        <v>0</v>
      </c>
      <c r="D29" s="41">
        <f t="shared" si="6"/>
        <v>0</v>
      </c>
      <c r="E29" s="41">
        <f t="shared" si="6"/>
        <v>0</v>
      </c>
      <c r="F29" s="41">
        <f t="shared" si="6"/>
        <v>0</v>
      </c>
      <c r="G29" s="42">
        <f t="shared" si="6"/>
        <v>0</v>
      </c>
      <c r="H29" s="41">
        <f t="shared" si="6"/>
        <v>0</v>
      </c>
      <c r="I29" s="41">
        <f t="shared" si="6"/>
        <v>0</v>
      </c>
      <c r="J29" s="41">
        <f t="shared" si="6"/>
        <v>0</v>
      </c>
      <c r="K29" s="41">
        <f t="shared" si="6"/>
        <v>121562.79934396561</v>
      </c>
      <c r="L29" s="41">
        <f t="shared" si="6"/>
        <v>526199.07320997096</v>
      </c>
      <c r="M29" s="17"/>
      <c r="N29" s="17"/>
      <c r="O29" s="17"/>
      <c r="P29" s="20"/>
    </row>
    <row r="30" spans="1:16" ht="12" customHeight="1" x14ac:dyDescent="0.3">
      <c r="A30" s="51" t="s">
        <v>44</v>
      </c>
      <c r="B30" s="52"/>
      <c r="C30" s="53">
        <f t="shared" ref="C30:L30" si="7">IF(C28="","",C28-C29)</f>
        <v>-2324</v>
      </c>
      <c r="D30" s="53">
        <f t="shared" si="7"/>
        <v>-2543.21</v>
      </c>
      <c r="E30" s="53">
        <f t="shared" si="7"/>
        <v>-1729.58</v>
      </c>
      <c r="F30" s="53">
        <f t="shared" si="7"/>
        <v>-15.850000000000023</v>
      </c>
      <c r="G30" s="54">
        <f t="shared" si="7"/>
        <v>-37295.708333333336</v>
      </c>
      <c r="H30" s="53">
        <f t="shared" si="7"/>
        <v>-165296.59375</v>
      </c>
      <c r="I30" s="53">
        <f t="shared" si="7"/>
        <v>-156523.67562500003</v>
      </c>
      <c r="J30" s="53">
        <f t="shared" si="7"/>
        <v>-179835.06343906256</v>
      </c>
      <c r="K30" s="53">
        <f t="shared" si="7"/>
        <v>457307.67372253735</v>
      </c>
      <c r="L30" s="53">
        <f t="shared" si="7"/>
        <v>1979510.7992184621</v>
      </c>
      <c r="M30" s="17"/>
      <c r="N30" s="17"/>
      <c r="O30" s="17"/>
      <c r="P30" s="20"/>
    </row>
    <row r="31" spans="1:16" ht="12" customHeight="1" x14ac:dyDescent="0.3">
      <c r="A31" s="35" t="s">
        <v>45</v>
      </c>
      <c r="B31" s="17"/>
      <c r="C31" s="49">
        <f t="shared" ref="C31:L31" si="8">IF(OR(C14="",C14=0,C30=""),"",C30/C14)</f>
        <v>-7.6447368421052628</v>
      </c>
      <c r="D31" s="49">
        <f t="shared" si="8"/>
        <v>-29.994221016629318</v>
      </c>
      <c r="E31" s="49">
        <f t="shared" si="8"/>
        <v>-1.9251352374167985</v>
      </c>
      <c r="F31" s="49">
        <f t="shared" si="8"/>
        <v>-3.0947964463536121E-2</v>
      </c>
      <c r="G31" s="50">
        <f t="shared" si="8"/>
        <v>-35.943340159820103</v>
      </c>
      <c r="H31" s="49">
        <f t="shared" si="8"/>
        <v>-3.0216874063486676</v>
      </c>
      <c r="I31" s="49">
        <f t="shared" si="8"/>
        <v>-0.68209073877798398</v>
      </c>
      <c r="J31" s="49">
        <f t="shared" si="8"/>
        <v>-0.2671089101382092</v>
      </c>
      <c r="K31" s="49">
        <f t="shared" si="8"/>
        <v>0.27710906187527118</v>
      </c>
      <c r="L31" s="49">
        <f t="shared" si="8"/>
        <v>0.55498836900459492</v>
      </c>
      <c r="M31" s="17"/>
      <c r="N31" s="17"/>
      <c r="O31" s="17"/>
      <c r="P31" s="20"/>
    </row>
    <row r="32" spans="1:16" ht="12" customHeight="1" x14ac:dyDescent="0.3">
      <c r="A32" s="35"/>
      <c r="B32" s="17"/>
      <c r="C32" s="30"/>
      <c r="D32" s="30"/>
      <c r="E32" s="30"/>
      <c r="F32" s="30"/>
      <c r="G32" s="31"/>
      <c r="H32" s="30"/>
      <c r="I32" s="30"/>
      <c r="J32" s="30"/>
      <c r="K32" s="30"/>
      <c r="L32" s="30"/>
      <c r="M32" s="17"/>
      <c r="N32" s="17"/>
      <c r="O32" s="17"/>
      <c r="P32" s="20"/>
    </row>
    <row r="33" spans="1:16" ht="12.75" customHeight="1" x14ac:dyDescent="0.3">
      <c r="A33" s="12" t="s">
        <v>46</v>
      </c>
      <c r="B33" s="12"/>
      <c r="C33" s="12"/>
      <c r="D33" s="12"/>
      <c r="E33" s="12"/>
      <c r="F33" s="12"/>
      <c r="G33" s="12"/>
      <c r="H33" s="12"/>
      <c r="I33" s="12"/>
      <c r="J33" s="12"/>
      <c r="K33" s="12"/>
      <c r="L33" s="12"/>
      <c r="M33" s="17"/>
      <c r="N33" s="17"/>
      <c r="O33" s="17"/>
      <c r="P33" s="20"/>
    </row>
    <row r="34" spans="1:16" ht="12" customHeight="1" x14ac:dyDescent="0.3">
      <c r="A34" s="35" t="s">
        <v>31</v>
      </c>
      <c r="B34" s="17"/>
      <c r="C34" s="41"/>
      <c r="D34" s="41"/>
      <c r="E34" s="41"/>
      <c r="F34" s="41"/>
      <c r="G34" s="42"/>
      <c r="H34" s="39">
        <f>Revenue_T!D12</f>
        <v>6649.5812967316651</v>
      </c>
      <c r="I34" s="39">
        <f>Revenue_T!E12</f>
        <v>44216.931421843597</v>
      </c>
      <c r="J34" s="39">
        <f>Revenue_T!F12</f>
        <v>294024.08018155786</v>
      </c>
      <c r="K34" s="39">
        <f>Revenue_T!G12</f>
        <v>1955137.024364019</v>
      </c>
      <c r="L34" s="39">
        <f>Revenue_T!H12</f>
        <v>13000842.589758582</v>
      </c>
      <c r="M34" s="17"/>
      <c r="N34" s="17"/>
      <c r="O34" s="17"/>
      <c r="P34" s="20"/>
    </row>
    <row r="35" spans="1:16" ht="12" customHeight="1" x14ac:dyDescent="0.3">
      <c r="A35" s="35" t="s">
        <v>32</v>
      </c>
      <c r="B35" s="17"/>
      <c r="C35" s="41"/>
      <c r="D35" s="41"/>
      <c r="E35" s="41"/>
      <c r="F35" s="41"/>
      <c r="G35" s="42"/>
      <c r="H35" s="39">
        <f>IF(H34="","",Expenses_Y!H65)</f>
        <v>0</v>
      </c>
      <c r="I35" s="39">
        <f>IF(I34="","",Expenses_Y!I65)</f>
        <v>0</v>
      </c>
      <c r="J35" s="39">
        <f>IF(J34="","",Expenses_Y!J65)</f>
        <v>0</v>
      </c>
      <c r="K35" s="39">
        <f>IF(K34="","",Expenses_Y!K65)</f>
        <v>0</v>
      </c>
      <c r="L35" s="39">
        <f>IF(L34="","",Expenses_Y!L65)</f>
        <v>0</v>
      </c>
      <c r="M35" s="17"/>
      <c r="N35" s="17"/>
      <c r="O35" s="17"/>
      <c r="P35" s="20"/>
    </row>
    <row r="36" spans="1:16" ht="12" customHeight="1" x14ac:dyDescent="0.3">
      <c r="A36" s="45" t="s">
        <v>33</v>
      </c>
      <c r="B36" s="46"/>
      <c r="C36" s="47"/>
      <c r="D36" s="47"/>
      <c r="E36" s="47"/>
      <c r="F36" s="47"/>
      <c r="G36" s="48"/>
      <c r="H36" s="47">
        <f>IF(H34="","",H34-H35)</f>
        <v>6649.5812967316651</v>
      </c>
      <c r="I36" s="47">
        <f>IF(I34="","",I34-I35)</f>
        <v>44216.931421843597</v>
      </c>
      <c r="J36" s="47">
        <f>IF(J34="","",J34-J35)</f>
        <v>294024.08018155786</v>
      </c>
      <c r="K36" s="47">
        <f>IF(K34="","",K34-K35)</f>
        <v>1955137.024364019</v>
      </c>
      <c r="L36" s="47">
        <f>IF(L34="","",L34-L35)</f>
        <v>13000842.589758582</v>
      </c>
      <c r="M36" s="17"/>
      <c r="N36" s="17"/>
      <c r="O36" s="17"/>
      <c r="P36" s="20"/>
    </row>
    <row r="37" spans="1:16" ht="12" customHeight="1" x14ac:dyDescent="0.3">
      <c r="A37" s="35" t="s">
        <v>34</v>
      </c>
      <c r="B37" s="17"/>
      <c r="C37" s="49"/>
      <c r="D37" s="49"/>
      <c r="E37" s="49"/>
      <c r="F37" s="49"/>
      <c r="G37" s="50"/>
      <c r="H37" s="49">
        <f>IF(OR(H34="",H34=0,H36=""),"",H36/H34)</f>
        <v>1</v>
      </c>
      <c r="I37" s="49">
        <f>IF(OR(I34="",I34=0,I36=""),"",I36/I34)</f>
        <v>1</v>
      </c>
      <c r="J37" s="49">
        <f>IF(OR(J34="",J34=0,J36=""),"",J36/J34)</f>
        <v>1</v>
      </c>
      <c r="K37" s="49">
        <f>IF(OR(K34="",K34=0,K36=""),"",K36/K34)</f>
        <v>1</v>
      </c>
      <c r="L37" s="49">
        <f>IF(OR(L34="",L34=0,L36=""),"",L36/L34)</f>
        <v>1</v>
      </c>
      <c r="M37" s="17"/>
      <c r="N37" s="17"/>
      <c r="O37" s="17"/>
      <c r="P37" s="20"/>
    </row>
    <row r="38" spans="1:16" ht="12" customHeight="1" x14ac:dyDescent="0.3">
      <c r="A38" s="35"/>
      <c r="B38" s="17"/>
      <c r="C38" s="30"/>
      <c r="D38" s="30"/>
      <c r="E38" s="30"/>
      <c r="F38" s="30"/>
      <c r="G38" s="31"/>
      <c r="H38" s="30"/>
      <c r="I38" s="30"/>
      <c r="J38" s="30"/>
      <c r="K38" s="30"/>
      <c r="L38" s="30"/>
      <c r="M38" s="17"/>
      <c r="N38" s="17"/>
      <c r="O38" s="17"/>
      <c r="P38" s="20"/>
    </row>
    <row r="39" spans="1:16" ht="12" customHeight="1" x14ac:dyDescent="0.3">
      <c r="A39" s="35" t="s">
        <v>35</v>
      </c>
      <c r="B39" s="17"/>
      <c r="C39" s="41"/>
      <c r="D39" s="41"/>
      <c r="E39" s="41"/>
      <c r="F39" s="41"/>
      <c r="G39" s="42"/>
      <c r="H39" s="39">
        <f>IF(H34="","",Expenses_Y!H37)</f>
        <v>210000</v>
      </c>
      <c r="I39" s="39">
        <f>IF(I34="","",Expenses_Y!I37)</f>
        <v>371000</v>
      </c>
      <c r="J39" s="39">
        <f>IF(J34="","",Expenses_Y!J37)</f>
        <v>833100</v>
      </c>
      <c r="K39" s="39">
        <f>IF(K34="","",Expenses_Y!K37)</f>
        <v>1046410</v>
      </c>
      <c r="L39" s="39">
        <f>IF(L34="","",Expenses_Y!L37)</f>
        <v>1061051</v>
      </c>
      <c r="M39" s="17"/>
      <c r="N39" s="17"/>
      <c r="O39" s="17"/>
      <c r="P39" s="20"/>
    </row>
    <row r="40" spans="1:16" ht="12" customHeight="1" x14ac:dyDescent="0.3">
      <c r="A40" s="35" t="s">
        <v>36</v>
      </c>
      <c r="B40" s="17"/>
      <c r="C40" s="41"/>
      <c r="D40" s="41"/>
      <c r="E40" s="41"/>
      <c r="F40" s="41"/>
      <c r="G40" s="42"/>
      <c r="H40" s="39">
        <f>IF(H34="","",Expenses_Y!H43)</f>
        <v>0</v>
      </c>
      <c r="I40" s="39">
        <f>IF(I34="","",Expenses_Y!I43)</f>
        <v>0</v>
      </c>
      <c r="J40" s="39">
        <f>IF(J34="","",Expenses_Y!J43)</f>
        <v>0</v>
      </c>
      <c r="K40" s="39">
        <f>IF(K34="","",Expenses_Y!K43)</f>
        <v>0</v>
      </c>
      <c r="L40" s="39">
        <f>IF(L34="","",Expenses_Y!L43)</f>
        <v>0</v>
      </c>
      <c r="M40" s="17"/>
      <c r="N40" s="17"/>
      <c r="O40" s="17"/>
      <c r="P40" s="20"/>
    </row>
    <row r="41" spans="1:16" ht="12" customHeight="1" x14ac:dyDescent="0.3">
      <c r="A41" s="35" t="s">
        <v>37</v>
      </c>
      <c r="B41" s="17"/>
      <c r="C41" s="41"/>
      <c r="D41" s="41"/>
      <c r="E41" s="41"/>
      <c r="F41" s="41"/>
      <c r="G41" s="42"/>
      <c r="H41" s="39">
        <f>IF(H34="","",Expenses_Y!H51)</f>
        <v>10000</v>
      </c>
      <c r="I41" s="39">
        <f>IF(I34="","",Expenses_Y!I51)</f>
        <v>15000</v>
      </c>
      <c r="J41" s="39">
        <f>IF(J34="","",Expenses_Y!J51)</f>
        <v>20000</v>
      </c>
      <c r="K41" s="39">
        <f>IF(K34="","",Expenses_Y!K51)</f>
        <v>25000</v>
      </c>
      <c r="L41" s="39">
        <f>IF(L34="","",Expenses_Y!L51)</f>
        <v>0</v>
      </c>
      <c r="M41" s="17"/>
      <c r="N41" s="17"/>
      <c r="O41" s="17"/>
      <c r="P41" s="20"/>
    </row>
    <row r="42" spans="1:16" ht="12" customHeight="1" x14ac:dyDescent="0.3">
      <c r="A42" s="35" t="s">
        <v>38</v>
      </c>
      <c r="B42" s="17"/>
      <c r="C42" s="41"/>
      <c r="D42" s="41"/>
      <c r="E42" s="41"/>
      <c r="F42" s="41"/>
      <c r="G42" s="42"/>
      <c r="H42" s="39">
        <f>IF(H34="","",Expenses_Y!H59)</f>
        <v>0</v>
      </c>
      <c r="I42" s="39">
        <f>IF(I34="","",Expenses_Y!I59)</f>
        <v>0</v>
      </c>
      <c r="J42" s="39">
        <f>IF(J34="","",Expenses_Y!J59)</f>
        <v>0</v>
      </c>
      <c r="K42" s="39">
        <f>IF(K34="","",Expenses_Y!K59)</f>
        <v>0</v>
      </c>
      <c r="L42" s="39">
        <f>IF(L34="","",Expenses_Y!L59)</f>
        <v>0</v>
      </c>
      <c r="M42" s="17"/>
      <c r="N42" s="17"/>
      <c r="O42" s="17"/>
      <c r="P42" s="20"/>
    </row>
    <row r="43" spans="1:16" ht="12" customHeight="1" x14ac:dyDescent="0.3">
      <c r="A43" s="45" t="s">
        <v>39</v>
      </c>
      <c r="B43" s="46"/>
      <c r="C43" s="47"/>
      <c r="D43" s="47"/>
      <c r="E43" s="47"/>
      <c r="F43" s="47"/>
      <c r="G43" s="48"/>
      <c r="H43" s="47">
        <f>IF(H34="","",SUM(H39:H42))</f>
        <v>220000</v>
      </c>
      <c r="I43" s="47">
        <f>IF(I34="","",SUM(I39:I42))</f>
        <v>386000</v>
      </c>
      <c r="J43" s="47">
        <f>IF(J34="","",SUM(J39:J42))</f>
        <v>853100</v>
      </c>
      <c r="K43" s="47">
        <f>IF(K34="","",SUM(K39:K42))</f>
        <v>1071410</v>
      </c>
      <c r="L43" s="47">
        <f>IF(L34="","",SUM(L39:L42))</f>
        <v>1061051</v>
      </c>
      <c r="M43" s="17"/>
      <c r="N43" s="17"/>
      <c r="O43" s="17"/>
      <c r="P43" s="20"/>
    </row>
    <row r="44" spans="1:16" ht="12" customHeight="1" x14ac:dyDescent="0.3">
      <c r="A44" s="35"/>
      <c r="B44" s="17"/>
      <c r="C44" s="30"/>
      <c r="D44" s="30"/>
      <c r="E44" s="30"/>
      <c r="F44" s="30"/>
      <c r="G44" s="31"/>
      <c r="H44" s="30"/>
      <c r="I44" s="30"/>
      <c r="J44" s="30"/>
      <c r="K44" s="30"/>
      <c r="L44" s="30"/>
      <c r="M44" s="17"/>
      <c r="N44" s="17"/>
      <c r="O44" s="17"/>
      <c r="P44" s="20"/>
    </row>
    <row r="45" spans="1:16" ht="12" customHeight="1" x14ac:dyDescent="0.3">
      <c r="A45" s="45" t="s">
        <v>40</v>
      </c>
      <c r="B45" s="46"/>
      <c r="C45" s="47"/>
      <c r="D45" s="47"/>
      <c r="E45" s="47"/>
      <c r="F45" s="47"/>
      <c r="G45" s="48"/>
      <c r="H45" s="47">
        <f>IF(H34="","",H36-H43)</f>
        <v>-213350.41870326834</v>
      </c>
      <c r="I45" s="47">
        <f>IF(I34="","",I36-I43)</f>
        <v>-341783.06857815641</v>
      </c>
      <c r="J45" s="47">
        <f>IF(J34="","",J36-J43)</f>
        <v>-559075.91981844208</v>
      </c>
      <c r="K45" s="47">
        <f>IF(K34="","",K36-K43)</f>
        <v>883727.02436401905</v>
      </c>
      <c r="L45" s="47">
        <f>IF(L34="","",L36-L43)</f>
        <v>11939791.589758582</v>
      </c>
      <c r="M45" s="17"/>
      <c r="N45" s="17"/>
      <c r="O45" s="17"/>
      <c r="P45" s="20"/>
    </row>
    <row r="46" spans="1:16" ht="12" customHeight="1" x14ac:dyDescent="0.3">
      <c r="A46" s="35" t="s">
        <v>41</v>
      </c>
      <c r="B46" s="17"/>
      <c r="C46" s="49"/>
      <c r="D46" s="49"/>
      <c r="E46" s="49"/>
      <c r="F46" s="49"/>
      <c r="G46" s="50"/>
      <c r="H46" s="49">
        <f>IF(OR(H34="",H34=0,H45=""),"",H45/H34)</f>
        <v>-32.084789881151188</v>
      </c>
      <c r="I46" s="49">
        <f>IF(OR(I34="",I34=0,I45=""),"",I45/I34)</f>
        <v>-7.7296876465134403</v>
      </c>
      <c r="J46" s="49">
        <f>IF(OR(J34="",J34=0,J45=""),"",J45/J34)</f>
        <v>-1.9014630348412842</v>
      </c>
      <c r="K46" s="49">
        <f>IF(OR(K34="",K34=0,K45=""),"",K45/K34)</f>
        <v>0.45200260306639328</v>
      </c>
      <c r="L46" s="49">
        <f>IF(OR(L34="",L34=0,L45=""),"",L45/L34)</f>
        <v>0.91838598208735767</v>
      </c>
      <c r="M46" s="17"/>
      <c r="N46" s="17"/>
      <c r="O46" s="17"/>
      <c r="P46" s="20"/>
    </row>
    <row r="47" spans="1:16" ht="12" customHeight="1" x14ac:dyDescent="0.3">
      <c r="A47" s="35"/>
      <c r="B47" s="17"/>
      <c r="C47" s="30"/>
      <c r="D47" s="30"/>
      <c r="E47" s="30"/>
      <c r="F47" s="30"/>
      <c r="G47" s="31"/>
      <c r="H47" s="30"/>
      <c r="I47" s="30"/>
      <c r="J47" s="30"/>
      <c r="K47" s="30"/>
      <c r="L47" s="30"/>
      <c r="M47" s="17"/>
      <c r="N47" s="17"/>
      <c r="O47" s="17"/>
      <c r="P47" s="20"/>
    </row>
    <row r="48" spans="1:16" ht="12" customHeight="1" x14ac:dyDescent="0.3">
      <c r="A48" s="45" t="s">
        <v>42</v>
      </c>
      <c r="B48" s="46"/>
      <c r="C48" s="47"/>
      <c r="D48" s="47"/>
      <c r="E48" s="47"/>
      <c r="F48" s="47"/>
      <c r="G48" s="48"/>
      <c r="H48" s="47">
        <f>IF(H45="","",H45)</f>
        <v>-213350.41870326834</v>
      </c>
      <c r="I48" s="47">
        <f>IF(I45="","",I45)</f>
        <v>-341783.06857815641</v>
      </c>
      <c r="J48" s="47">
        <f>IF(J45="","",J45)</f>
        <v>-559075.91981844208</v>
      </c>
      <c r="K48" s="47">
        <f>IF(K45="","",K45)</f>
        <v>883727.02436401905</v>
      </c>
      <c r="L48" s="47">
        <f>IF(L45="","",L45)</f>
        <v>11939791.589758582</v>
      </c>
      <c r="M48" s="17"/>
      <c r="N48" s="17"/>
      <c r="O48" s="17"/>
      <c r="P48" s="20"/>
    </row>
    <row r="49" spans="1:16" ht="12" customHeight="1" x14ac:dyDescent="0.3">
      <c r="A49" s="35" t="s">
        <v>43</v>
      </c>
      <c r="B49" s="17"/>
      <c r="C49" s="41"/>
      <c r="D49" s="41"/>
      <c r="E49" s="41"/>
      <c r="F49" s="41"/>
      <c r="G49" s="42"/>
      <c r="H49" s="41">
        <f>IF(H48="","",MAX(0,H48*$G$55))</f>
        <v>0</v>
      </c>
      <c r="I49" s="41">
        <f>IF(I48="","",MAX(0,I48*$G$55))</f>
        <v>0</v>
      </c>
      <c r="J49" s="41">
        <f>IF(J48="","",MAX(0,J48*$G$55))</f>
        <v>0</v>
      </c>
      <c r="K49" s="41">
        <f>IF(K48="","",MAX(0,K48*$G$55))</f>
        <v>185582.67511644401</v>
      </c>
      <c r="L49" s="41">
        <f>IF(L48="","",MAX(0,L48*$G$55))</f>
        <v>2507356.2338493024</v>
      </c>
      <c r="M49" s="17"/>
      <c r="N49" s="17"/>
      <c r="O49" s="17"/>
      <c r="P49" s="20"/>
    </row>
    <row r="50" spans="1:16" ht="12" customHeight="1" x14ac:dyDescent="0.3">
      <c r="A50" s="51" t="s">
        <v>44</v>
      </c>
      <c r="B50" s="52"/>
      <c r="C50" s="53"/>
      <c r="D50" s="53"/>
      <c r="E50" s="53"/>
      <c r="F50" s="53"/>
      <c r="G50" s="54"/>
      <c r="H50" s="53">
        <f>IF(H48="","",H48-H49)</f>
        <v>-213350.41870326834</v>
      </c>
      <c r="I50" s="53">
        <f>IF(I48="","",I48-I49)</f>
        <v>-341783.06857815641</v>
      </c>
      <c r="J50" s="53">
        <f>IF(J48="","",J48-J49)</f>
        <v>-559075.91981844208</v>
      </c>
      <c r="K50" s="53">
        <f>IF(K48="","",K48-K49)</f>
        <v>698144.34924757504</v>
      </c>
      <c r="L50" s="53">
        <f>IF(L48="","",L48-L49)</f>
        <v>9432435.3559092805</v>
      </c>
      <c r="M50" s="17"/>
      <c r="N50" s="17"/>
      <c r="O50" s="17"/>
      <c r="P50" s="20"/>
    </row>
    <row r="51" spans="1:16" ht="12" customHeight="1" x14ac:dyDescent="0.3">
      <c r="A51" s="35" t="s">
        <v>45</v>
      </c>
      <c r="B51" s="17"/>
      <c r="C51" s="49"/>
      <c r="D51" s="49"/>
      <c r="E51" s="49"/>
      <c r="F51" s="49"/>
      <c r="G51" s="50"/>
      <c r="H51" s="49">
        <f>IF(OR(H34="",H34=0,H50=""),"",H50/H34)</f>
        <v>-32.084789881151188</v>
      </c>
      <c r="I51" s="49">
        <f>IF(OR(I34="",I34=0,I50=""),"",I50/I34)</f>
        <v>-7.7296876465134403</v>
      </c>
      <c r="J51" s="49">
        <f>IF(OR(J34="",J34=0,J50=""),"",J50/J34)</f>
        <v>-1.9014630348412842</v>
      </c>
      <c r="K51" s="49">
        <f>IF(OR(K34="",K34=0,K50=""),"",K50/K34)</f>
        <v>0.35708205642245072</v>
      </c>
      <c r="L51" s="49">
        <f>IF(OR(L34="",L34=0,L50=""),"",L50/L34)</f>
        <v>0.72552492584901263</v>
      </c>
      <c r="M51" s="17"/>
      <c r="N51" s="17"/>
      <c r="O51" s="17"/>
      <c r="P51" s="20"/>
    </row>
    <row r="52" spans="1:16" ht="12" customHeight="1" x14ac:dyDescent="0.3">
      <c r="A52" s="35"/>
      <c r="B52" s="17"/>
      <c r="C52" s="30"/>
      <c r="D52" s="30"/>
      <c r="E52" s="30"/>
      <c r="F52" s="30"/>
      <c r="G52" s="31"/>
      <c r="H52" s="30"/>
      <c r="I52" s="30"/>
      <c r="J52" s="30"/>
      <c r="K52" s="30"/>
      <c r="L52" s="30"/>
      <c r="M52" s="17"/>
      <c r="N52" s="17"/>
      <c r="O52" s="17"/>
      <c r="P52" s="20"/>
    </row>
    <row r="53" spans="1:16" ht="14.25" customHeight="1" x14ac:dyDescent="0.25">
      <c r="A53" s="38"/>
      <c r="B53" s="38"/>
      <c r="C53" s="55"/>
      <c r="D53" s="55"/>
      <c r="E53" s="55"/>
      <c r="F53" s="56" t="s">
        <v>47</v>
      </c>
      <c r="G53" s="57">
        <v>0.21</v>
      </c>
      <c r="H53" s="55"/>
      <c r="I53" s="55"/>
      <c r="J53" s="55"/>
      <c r="K53" s="55"/>
      <c r="L53" s="55"/>
      <c r="M53" s="38"/>
      <c r="N53" s="38"/>
      <c r="O53" s="38"/>
    </row>
    <row r="54" spans="1:16" ht="14.25" customHeight="1" x14ac:dyDescent="0.25">
      <c r="A54" s="38"/>
      <c r="B54" s="38"/>
      <c r="C54" s="55"/>
      <c r="D54" s="55"/>
      <c r="E54" s="55"/>
      <c r="F54" s="56" t="s">
        <v>48</v>
      </c>
      <c r="G54" s="57">
        <v>0</v>
      </c>
      <c r="H54" s="55"/>
      <c r="I54" s="55"/>
      <c r="J54" s="55"/>
      <c r="K54" s="55"/>
      <c r="L54" s="55"/>
      <c r="M54" s="38"/>
      <c r="N54" s="38"/>
      <c r="O54" s="38"/>
    </row>
    <row r="55" spans="1:16" ht="14.25" customHeight="1" x14ac:dyDescent="0.25">
      <c r="A55" s="38"/>
      <c r="B55" s="38"/>
      <c r="C55" s="55"/>
      <c r="D55" s="55"/>
      <c r="E55" s="55"/>
      <c r="F55" s="56" t="s">
        <v>49</v>
      </c>
      <c r="G55" s="58">
        <f>SUM(G53:G54)</f>
        <v>0.21</v>
      </c>
      <c r="H55" s="55"/>
      <c r="I55" s="55"/>
      <c r="J55" s="55"/>
      <c r="K55" s="55"/>
      <c r="L55" s="55"/>
      <c r="M55" s="38"/>
      <c r="N55" s="38"/>
      <c r="O55" s="38"/>
    </row>
    <row r="56" spans="1:16" ht="14.25" customHeight="1" x14ac:dyDescent="0.25">
      <c r="A56" s="38"/>
      <c r="B56" s="38"/>
      <c r="C56" s="38"/>
      <c r="D56" s="38"/>
      <c r="E56" s="38"/>
      <c r="F56" s="11" t="s">
        <v>50</v>
      </c>
      <c r="G56" s="11"/>
      <c r="H56" s="38"/>
      <c r="I56" s="38"/>
      <c r="J56" s="38"/>
      <c r="K56" s="38"/>
      <c r="L56" s="38"/>
      <c r="M56" s="38"/>
      <c r="N56" s="38"/>
      <c r="O56" s="38"/>
    </row>
    <row r="57" spans="1:16" x14ac:dyDescent="0.25">
      <c r="A57" s="38"/>
      <c r="B57" s="38"/>
      <c r="C57" s="38"/>
      <c r="D57" s="38"/>
      <c r="E57" s="38"/>
      <c r="F57" s="38"/>
      <c r="G57" s="59"/>
      <c r="H57" s="38"/>
      <c r="I57" s="38"/>
      <c r="J57" s="38"/>
      <c r="K57" s="38"/>
      <c r="L57" s="38"/>
      <c r="M57" s="38"/>
      <c r="N57" s="38"/>
      <c r="O57" s="38"/>
    </row>
    <row r="58" spans="1:16" ht="18" customHeight="1" x14ac:dyDescent="0.25">
      <c r="A58" s="10" t="s">
        <v>51</v>
      </c>
      <c r="B58" s="10"/>
      <c r="C58" s="10"/>
      <c r="D58" s="10"/>
      <c r="E58" s="10"/>
      <c r="F58" s="10"/>
      <c r="G58" s="10"/>
      <c r="H58" s="10"/>
      <c r="I58" s="10"/>
      <c r="J58" s="10"/>
      <c r="K58" s="10"/>
      <c r="L58" s="10"/>
      <c r="M58" s="10"/>
      <c r="N58" s="10"/>
      <c r="O58" s="10"/>
    </row>
    <row r="59" spans="1:16" ht="31.5" customHeight="1" x14ac:dyDescent="0.25">
      <c r="A59" s="9" t="s">
        <v>52</v>
      </c>
      <c r="B59" s="9"/>
      <c r="C59" s="9"/>
      <c r="D59" s="9"/>
      <c r="E59" s="9"/>
      <c r="F59" s="9"/>
      <c r="G59" s="9"/>
      <c r="H59" s="9"/>
      <c r="I59" s="9"/>
      <c r="J59" s="9"/>
      <c r="K59" s="9"/>
      <c r="L59" s="9"/>
      <c r="M59" s="9"/>
      <c r="N59" s="9"/>
      <c r="O59" s="9"/>
    </row>
    <row r="60" spans="1:16" ht="31.5" customHeight="1" x14ac:dyDescent="0.25">
      <c r="A60" s="9" t="s">
        <v>53</v>
      </c>
      <c r="B60" s="9"/>
      <c r="C60" s="9"/>
      <c r="D60" s="9"/>
      <c r="E60" s="9"/>
      <c r="F60" s="9"/>
      <c r="G60" s="9"/>
      <c r="H60" s="9"/>
      <c r="I60" s="9"/>
      <c r="J60" s="9"/>
      <c r="K60" s="9"/>
      <c r="L60" s="9"/>
      <c r="M60" s="9"/>
      <c r="N60" s="9"/>
      <c r="O60" s="9"/>
    </row>
    <row r="61" spans="1:16" ht="31.5" customHeight="1" x14ac:dyDescent="0.25">
      <c r="A61" s="9" t="s">
        <v>54</v>
      </c>
      <c r="B61" s="9"/>
      <c r="C61" s="9"/>
      <c r="D61" s="9"/>
      <c r="E61" s="9"/>
      <c r="F61" s="9"/>
      <c r="G61" s="9"/>
      <c r="H61" s="9"/>
      <c r="I61" s="9"/>
      <c r="J61" s="9"/>
      <c r="K61" s="9"/>
      <c r="L61" s="9"/>
      <c r="M61" s="9"/>
      <c r="N61" s="9"/>
      <c r="O61" s="9"/>
    </row>
    <row r="62" spans="1:16" ht="31.5" customHeight="1" x14ac:dyDescent="0.25">
      <c r="A62" s="9" t="s">
        <v>55</v>
      </c>
      <c r="B62" s="9"/>
      <c r="C62" s="9"/>
      <c r="D62" s="9"/>
      <c r="E62" s="9"/>
      <c r="F62" s="9"/>
      <c r="G62" s="9"/>
      <c r="H62" s="9"/>
      <c r="I62" s="9"/>
      <c r="J62" s="9"/>
      <c r="K62" s="9"/>
      <c r="L62" s="9"/>
      <c r="M62" s="9"/>
      <c r="N62" s="9"/>
      <c r="O62" s="9"/>
    </row>
    <row r="63" spans="1:16" ht="31.5" customHeight="1" x14ac:dyDescent="0.25">
      <c r="A63" s="9" t="s">
        <v>56</v>
      </c>
      <c r="B63" s="9"/>
      <c r="C63" s="9"/>
      <c r="D63" s="9"/>
      <c r="E63" s="9"/>
      <c r="F63" s="9"/>
      <c r="G63" s="9"/>
      <c r="H63" s="9"/>
      <c r="I63" s="9"/>
      <c r="J63" s="9"/>
      <c r="K63" s="9"/>
      <c r="L63" s="9"/>
      <c r="M63" s="9"/>
      <c r="N63" s="9"/>
      <c r="O63" s="9"/>
    </row>
  </sheetData>
  <mergeCells count="12">
    <mergeCell ref="A62:O62"/>
    <mergeCell ref="A63:O63"/>
    <mergeCell ref="F56:G56"/>
    <mergeCell ref="A58:O58"/>
    <mergeCell ref="A59:O59"/>
    <mergeCell ref="A60:O60"/>
    <mergeCell ref="A61:O61"/>
    <mergeCell ref="M2:O2"/>
    <mergeCell ref="A5:L5"/>
    <mergeCell ref="A7:L7"/>
    <mergeCell ref="A13:L13"/>
    <mergeCell ref="A33:L3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96"/>
  <sheetViews>
    <sheetView showGridLines="0" zoomScaleNormal="100" workbookViewId="0">
      <selection activeCell="A8" sqref="A8:A13"/>
    </sheetView>
  </sheetViews>
  <sheetFormatPr defaultColWidth="8.6328125" defaultRowHeight="13" x14ac:dyDescent="0.3"/>
  <cols>
    <col min="1" max="1" width="40" style="60" customWidth="1"/>
    <col min="2" max="2" width="4" style="60" customWidth="1"/>
    <col min="3" max="3" width="14" style="60" customWidth="1"/>
    <col min="4" max="6" width="14" customWidth="1"/>
    <col min="7" max="7" width="14" style="60" customWidth="1"/>
    <col min="8" max="9" width="14" customWidth="1"/>
    <col min="10" max="10" width="14" style="60" customWidth="1"/>
    <col min="11" max="11" width="10.54296875" style="60" customWidth="1"/>
    <col min="12" max="12" width="11.1796875" style="60" customWidth="1"/>
    <col min="13" max="13" width="11.7265625" style="60" customWidth="1"/>
    <col min="14" max="18" width="13" style="60" customWidth="1"/>
    <col min="19" max="16380" width="8.6328125" style="60"/>
    <col min="16381" max="16382" width="5.26953125" style="60" customWidth="1"/>
    <col min="16383" max="16383" width="4.81640625" style="60" customWidth="1"/>
    <col min="16384" max="16384" width="3.54296875" style="60" customWidth="1"/>
  </cols>
  <sheetData>
    <row r="1" spans="1:18 16381:16384" ht="12.75" customHeight="1" x14ac:dyDescent="0.3">
      <c r="A1" s="61"/>
      <c r="B1" s="61"/>
      <c r="C1" s="18" t="s">
        <v>57</v>
      </c>
      <c r="D1" s="19" t="str">
        <f>IF(1&lt;=$C$24,"2027F","")</f>
        <v>2027F</v>
      </c>
      <c r="E1" s="18" t="str">
        <f>IF(2&lt;=$C$24,"2028F","")</f>
        <v>2028F</v>
      </c>
      <c r="F1" s="18" t="str">
        <f>IF(3&lt;=$C$24,"2029F","")</f>
        <v>2029F</v>
      </c>
      <c r="G1" s="18" t="str">
        <f>IF(4&lt;=$C$24,"2030F","")</f>
        <v>2030F</v>
      </c>
      <c r="H1" s="18" t="str">
        <f>IF(5&lt;=$C$24,"2031F","")</f>
        <v>2031F</v>
      </c>
      <c r="I1" s="18" t="str">
        <f>IF(6&lt;=$C$24,"2032F","")</f>
        <v>2032F</v>
      </c>
      <c r="J1" s="18" t="str">
        <f>IF(7&lt;=$C$24,"2033F","")</f>
        <v>2033F</v>
      </c>
      <c r="K1" s="62" t="str">
        <f>IF(8&lt;=$C$24,"2034F","")</f>
        <v/>
      </c>
      <c r="L1" s="62" t="str">
        <f>IF(9&lt;=$C$24,"2035F","")</f>
        <v/>
      </c>
      <c r="M1" s="62" t="str">
        <f>IF(10&lt;=$C$24,"2036F","")</f>
        <v/>
      </c>
      <c r="N1" s="62" t="str">
        <f>IF(11&lt;=$C$24,"2037F","")</f>
        <v/>
      </c>
      <c r="O1" s="62" t="str">
        <f>IF(12&lt;=$C$24,"2038F","")</f>
        <v/>
      </c>
      <c r="P1" s="62" t="str">
        <f>IF(13&lt;=$C$24,"2039F","")</f>
        <v/>
      </c>
      <c r="Q1" s="62" t="str">
        <f>IF(14&lt;=$C$24,"2040F","")</f>
        <v/>
      </c>
      <c r="R1" s="62" t="str">
        <f>IF(15&lt;=$C$24,"2041F","")</f>
        <v/>
      </c>
      <c r="XFA1" s="63">
        <v>1E-3</v>
      </c>
      <c r="XFB1" s="63">
        <v>0.05</v>
      </c>
      <c r="XFC1" s="64">
        <v>0.05</v>
      </c>
      <c r="XFD1" s="65">
        <v>100</v>
      </c>
    </row>
    <row r="2" spans="1:18 16381:16384" ht="12.75" customHeight="1" x14ac:dyDescent="0.3">
      <c r="A2" s="61"/>
      <c r="B2" s="61"/>
      <c r="C2" s="66" t="s">
        <v>12</v>
      </c>
      <c r="D2" s="67" t="s">
        <v>14</v>
      </c>
      <c r="E2" s="68" t="s">
        <v>14</v>
      </c>
      <c r="F2" s="68" t="s">
        <v>14</v>
      </c>
      <c r="G2" s="68" t="s">
        <v>14</v>
      </c>
      <c r="H2" s="68" t="s">
        <v>14</v>
      </c>
      <c r="I2" s="68" t="s">
        <v>14</v>
      </c>
      <c r="J2" s="68" t="s">
        <v>14</v>
      </c>
      <c r="K2" s="69" t="str">
        <f>IF(K$1&lt;&gt;"","Forecast","")</f>
        <v/>
      </c>
      <c r="L2" s="69" t="str">
        <f>IF(L$1&lt;&gt;"","Forecast","")</f>
        <v/>
      </c>
      <c r="M2" s="69" t="str">
        <f>IF(M$1&lt;&gt;"","Forecast","")</f>
        <v/>
      </c>
      <c r="N2" s="69" t="str">
        <f>IF(N$1&lt;&gt;"","Forecast","")</f>
        <v/>
      </c>
      <c r="O2" s="69" t="str">
        <f>IF(O$1&lt;&gt;"","Forecast","")</f>
        <v/>
      </c>
      <c r="P2" s="69" t="str">
        <f>IF(P$1&lt;&gt;"","Forecast","")</f>
        <v/>
      </c>
      <c r="Q2" s="69" t="str">
        <f>IF(Q$1&lt;&gt;"","Forecast","")</f>
        <v/>
      </c>
      <c r="R2" s="69" t="str">
        <f>IF(R$1&lt;&gt;"","Forecast","")</f>
        <v/>
      </c>
      <c r="XFA2" s="63">
        <v>2E-3</v>
      </c>
      <c r="XFB2" s="63">
        <v>0.1</v>
      </c>
      <c r="XFC2" s="64">
        <v>0.1</v>
      </c>
      <c r="XFD2" s="65">
        <v>75</v>
      </c>
    </row>
    <row r="3" spans="1:18 16381:16384" ht="12.75" customHeight="1" x14ac:dyDescent="0.3">
      <c r="A3" s="61"/>
      <c r="B3" s="61"/>
      <c r="C3" s="61"/>
      <c r="D3" s="70"/>
      <c r="E3" s="61"/>
      <c r="F3" s="61"/>
      <c r="G3" s="61"/>
      <c r="H3" s="61"/>
      <c r="I3" s="38"/>
      <c r="J3" s="38"/>
      <c r="XFA3" s="63">
        <v>3.0000000000000001E-3</v>
      </c>
      <c r="XFB3" s="63">
        <v>0.15</v>
      </c>
      <c r="XFC3" s="64">
        <v>0.15</v>
      </c>
      <c r="XFD3" s="65">
        <v>114</v>
      </c>
    </row>
    <row r="4" spans="1:18 16381:16384" ht="18" customHeight="1" x14ac:dyDescent="0.3">
      <c r="A4" s="13" t="s">
        <v>58</v>
      </c>
      <c r="B4" s="13"/>
      <c r="C4" s="13"/>
      <c r="D4" s="13"/>
      <c r="E4" s="13"/>
      <c r="F4" s="13"/>
      <c r="G4" s="13"/>
      <c r="H4" s="13"/>
      <c r="I4" s="13"/>
      <c r="J4" s="13"/>
      <c r="K4" s="71"/>
      <c r="L4" s="71"/>
      <c r="M4" s="71"/>
      <c r="N4" s="71"/>
      <c r="O4" s="71"/>
      <c r="P4" s="71"/>
      <c r="Q4" s="71"/>
      <c r="R4" s="71"/>
      <c r="XFA4" s="63">
        <v>4.0000000000000001E-3</v>
      </c>
      <c r="XFB4" s="63">
        <v>0.2</v>
      </c>
      <c r="XFC4" s="64">
        <v>0.2</v>
      </c>
      <c r="XFD4" s="65">
        <v>7</v>
      </c>
    </row>
    <row r="5" spans="1:18 16381:16384" ht="12.75" customHeight="1" x14ac:dyDescent="0.3">
      <c r="A5" s="61"/>
      <c r="B5" s="61"/>
      <c r="C5" s="61"/>
      <c r="D5" s="70"/>
      <c r="E5" s="61"/>
      <c r="F5" s="61"/>
      <c r="G5" s="61"/>
      <c r="H5" s="61"/>
      <c r="I5" s="38"/>
      <c r="J5" s="38"/>
      <c r="XFA5" s="63">
        <v>5.0000000000000001E-3</v>
      </c>
      <c r="XFB5" s="63">
        <v>0.223</v>
      </c>
      <c r="XFC5" s="64">
        <v>0.25</v>
      </c>
    </row>
    <row r="6" spans="1:18 16381:16384" ht="18" customHeight="1" x14ac:dyDescent="0.3">
      <c r="A6" s="10" t="s">
        <v>59</v>
      </c>
      <c r="B6" s="10"/>
      <c r="C6" s="10"/>
      <c r="D6" s="10"/>
      <c r="E6" s="10"/>
      <c r="F6" s="10"/>
      <c r="G6" s="10"/>
      <c r="H6" s="10"/>
      <c r="I6" s="10"/>
      <c r="J6" s="10"/>
      <c r="K6" s="72"/>
      <c r="L6" s="72"/>
      <c r="M6" s="72"/>
      <c r="N6" s="72"/>
      <c r="O6" s="72"/>
      <c r="P6" s="72"/>
      <c r="Q6" s="72"/>
      <c r="R6" s="72"/>
      <c r="XFA6" s="63">
        <v>6.0000000000000001E-3</v>
      </c>
      <c r="XFB6" s="63">
        <v>0.25</v>
      </c>
      <c r="XFC6" s="64">
        <v>0.3</v>
      </c>
    </row>
    <row r="7" spans="1:18 16381:16384" ht="12.75" customHeight="1" x14ac:dyDescent="0.3">
      <c r="A7" s="61" t="s">
        <v>60</v>
      </c>
      <c r="B7" s="61"/>
      <c r="C7" s="73">
        <f>IF(0&lt;=$C$24,$C$16*(1+$C$19)^0,"")</f>
        <v>360</v>
      </c>
      <c r="D7" s="74">
        <f>IF(1&lt;=$C$24,$C$16*(1+$C$19)^1,"")</f>
        <v>401.04</v>
      </c>
      <c r="E7" s="73">
        <f>IF(2&lt;=$C$24,$C$16*(1+$C$19)^2,"")</f>
        <v>446.7585600000001</v>
      </c>
      <c r="F7" s="73">
        <f>IF(3&lt;=$C$24,$C$16*(1+$C$19)^3,"")</f>
        <v>497.68903584000014</v>
      </c>
      <c r="G7" s="73">
        <f>IF(4&lt;=$C$24,$C$16*(1+$C$19)^4,"")</f>
        <v>554.42558592576017</v>
      </c>
      <c r="H7" s="73">
        <f>IF(5&lt;=$C$24,$C$16*(1+$C$19)^5,"")</f>
        <v>617.63010272129679</v>
      </c>
      <c r="I7" s="73">
        <f>IF(6&lt;=$C$24,$C$16*(1+$C$19)^6,"")</f>
        <v>688.03993443152478</v>
      </c>
      <c r="J7" s="73">
        <f>IF(7&lt;=$C$24,$C$16*(1+$C$19)^7,"")</f>
        <v>766.47648695671876</v>
      </c>
      <c r="K7" s="75" t="str">
        <f>IF(8&lt;=$C$24,$C$16*(1+$C$19)^8,"")</f>
        <v/>
      </c>
      <c r="L7" s="75" t="str">
        <f>IF(9&lt;=$C$24,$C$16*(1+$C$19)^9,"")</f>
        <v/>
      </c>
      <c r="M7" s="75" t="str">
        <f>IF(10&lt;=$C$24,$C$16*(1+$C$19)^10,"")</f>
        <v/>
      </c>
      <c r="N7" s="75" t="str">
        <f>IF(11&lt;=$C$24,$C$16*(1+$C$19)^11,"")</f>
        <v/>
      </c>
      <c r="O7" s="75" t="str">
        <f>IF(12&lt;=$C$24,$C$16*(1+$C$19)^12,"")</f>
        <v/>
      </c>
      <c r="P7" s="75" t="str">
        <f>IF(13&lt;=$C$24,$C$16*(1+$C$19)^13,"")</f>
        <v/>
      </c>
      <c r="Q7" s="75" t="str">
        <f>IF(14&lt;=$C$24,$C$16*(1+$C$19)^14,"")</f>
        <v/>
      </c>
      <c r="R7" s="75" t="str">
        <f>IF(15&lt;=$C$24,$C$16*(1+$C$19)^15,"")</f>
        <v/>
      </c>
      <c r="XFA7" s="63">
        <v>7.0000000000000001E-3</v>
      </c>
      <c r="XFB7" s="63">
        <v>0.3</v>
      </c>
      <c r="XFC7" s="64">
        <v>0.35</v>
      </c>
    </row>
    <row r="8" spans="1:18 16381:16384" ht="12.75" customHeight="1" x14ac:dyDescent="0.3">
      <c r="A8" s="61" t="s">
        <v>61</v>
      </c>
      <c r="B8" s="61"/>
      <c r="C8" s="76" t="s">
        <v>62</v>
      </c>
      <c r="D8" s="50">
        <f>IF(D$1&lt;&gt;"",$C$19,"")</f>
        <v>0.114</v>
      </c>
      <c r="E8" s="49">
        <f>IF(E$1&lt;&gt;"",$C$19,"")</f>
        <v>0.114</v>
      </c>
      <c r="F8" s="49">
        <f>IF(F$1&lt;&gt;"",$C$19,"")</f>
        <v>0.114</v>
      </c>
      <c r="G8" s="49">
        <f>IF(G$1&lt;&gt;"",$C$19,"")</f>
        <v>0.114</v>
      </c>
      <c r="H8" s="49">
        <f>IF(H$1&lt;&gt;"",$C$19,"")</f>
        <v>0.114</v>
      </c>
      <c r="I8" s="49">
        <f>IF(I$1&lt;&gt;"",$C$19,"")</f>
        <v>0.114</v>
      </c>
      <c r="J8" s="49">
        <f>IF(J$1&lt;&gt;"",$C$19,"")</f>
        <v>0.114</v>
      </c>
      <c r="K8" s="77" t="str">
        <f>IF(K$1&lt;&gt;"",$C$19,"")</f>
        <v/>
      </c>
      <c r="L8" s="77" t="str">
        <f>IF(L$1&lt;&gt;"",$C$19,"")</f>
        <v/>
      </c>
      <c r="M8" s="77" t="str">
        <f>IF(M$1&lt;&gt;"",$C$19,"")</f>
        <v/>
      </c>
      <c r="N8" s="77" t="str">
        <f>IF(N$1&lt;&gt;"",$C$19,"")</f>
        <v/>
      </c>
      <c r="O8" s="77" t="str">
        <f>IF(O$1&lt;&gt;"",$C$19,"")</f>
        <v/>
      </c>
      <c r="P8" s="77" t="str">
        <f>IF(P$1&lt;&gt;"",$C$19,"")</f>
        <v/>
      </c>
      <c r="Q8" s="77" t="str">
        <f>IF(Q$1&lt;&gt;"",$C$19,"")</f>
        <v/>
      </c>
      <c r="R8" s="77" t="str">
        <f>IF(R$1&lt;&gt;"",$C$19,"")</f>
        <v/>
      </c>
      <c r="XFA8" s="63">
        <v>8.0000000000000002E-3</v>
      </c>
      <c r="XFC8" s="64">
        <v>0.4</v>
      </c>
    </row>
    <row r="9" spans="1:18 16381:16384" ht="12.75" customHeight="1" x14ac:dyDescent="0.3">
      <c r="A9" s="61" t="s">
        <v>63</v>
      </c>
      <c r="B9" s="61"/>
      <c r="C9" s="49">
        <f>IF(C$1&lt;&gt;"",$C$17,"")</f>
        <v>7.4999999999999997E-2</v>
      </c>
      <c r="D9" s="50">
        <f>IF(D$1&lt;&gt;"",$C$17,"")</f>
        <v>7.4999999999999997E-2</v>
      </c>
      <c r="E9" s="49">
        <f>IF(E$1&lt;&gt;"",$C$17,"")</f>
        <v>7.4999999999999997E-2</v>
      </c>
      <c r="F9" s="49">
        <f>IF(F$1&lt;&gt;"",$C$17,"")</f>
        <v>7.4999999999999997E-2</v>
      </c>
      <c r="G9" s="49">
        <f>IF(G$1&lt;&gt;"",$C$17,"")</f>
        <v>7.4999999999999997E-2</v>
      </c>
      <c r="H9" s="49">
        <f>IF(H$1&lt;&gt;"",$C$17,"")</f>
        <v>7.4999999999999997E-2</v>
      </c>
      <c r="I9" s="49">
        <f>IF(I$1&lt;&gt;"",$C$17,"")</f>
        <v>7.4999999999999997E-2</v>
      </c>
      <c r="J9" s="49">
        <f>IF(J$1&lt;&gt;"",$C$17,"")</f>
        <v>7.4999999999999997E-2</v>
      </c>
      <c r="K9" s="77" t="str">
        <f>IF(K$1&lt;&gt;"",$C$17,"")</f>
        <v/>
      </c>
      <c r="L9" s="77" t="str">
        <f>IF(L$1&lt;&gt;"",$C$17,"")</f>
        <v/>
      </c>
      <c r="M9" s="77" t="str">
        <f>IF(M$1&lt;&gt;"",$C$17,"")</f>
        <v/>
      </c>
      <c r="N9" s="77" t="str">
        <f>IF(N$1&lt;&gt;"",$C$17,"")</f>
        <v/>
      </c>
      <c r="O9" s="77" t="str">
        <f>IF(O$1&lt;&gt;"",$C$17,"")</f>
        <v/>
      </c>
      <c r="P9" s="77" t="str">
        <f>IF(P$1&lt;&gt;"",$C$17,"")</f>
        <v/>
      </c>
      <c r="Q9" s="77" t="str">
        <f>IF(Q$1&lt;&gt;"",$C$17,"")</f>
        <v/>
      </c>
      <c r="R9" s="77" t="str">
        <f>IF(R$1&lt;&gt;"",$C$17,"")</f>
        <v/>
      </c>
      <c r="XFA9" s="63">
        <v>8.9999999999999993E-3</v>
      </c>
      <c r="XFC9" s="64">
        <v>0.45</v>
      </c>
    </row>
    <row r="10" spans="1:18 16381:16384" ht="12.75" customHeight="1" x14ac:dyDescent="0.3">
      <c r="A10" s="61" t="s">
        <v>64</v>
      </c>
      <c r="B10" s="61"/>
      <c r="C10" s="73">
        <f>IF(C$1&lt;&gt;"",C7*1000*C9,"")</f>
        <v>27000</v>
      </c>
      <c r="D10" s="74">
        <f>IF(D$1&lt;&gt;"",D7*1000*D9,"")</f>
        <v>30078</v>
      </c>
      <c r="E10" s="73">
        <f>IF(E$1&lt;&gt;"",E7*1000*E9,"")</f>
        <v>33506.892000000007</v>
      </c>
      <c r="F10" s="73">
        <f>IF(F$1&lt;&gt;"",F7*1000*F9,"")</f>
        <v>37326.677688000011</v>
      </c>
      <c r="G10" s="73">
        <f>IF(G$1&lt;&gt;"",G7*1000*G9,"")</f>
        <v>41581.918944432015</v>
      </c>
      <c r="H10" s="73">
        <f>IF(H$1&lt;&gt;"",H7*1000*H9,"")</f>
        <v>46322.257704097261</v>
      </c>
      <c r="I10" s="73">
        <f>IF(I$1&lt;&gt;"",I7*1000*I9,"")</f>
        <v>51602.995082364359</v>
      </c>
      <c r="J10" s="73">
        <f>IF(J$1&lt;&gt;"",J7*1000*J9,"")</f>
        <v>57485.736521753905</v>
      </c>
      <c r="K10" s="75" t="str">
        <f>IF(K$1&lt;&gt;"",K7*1000*K9,"")</f>
        <v/>
      </c>
      <c r="L10" s="75" t="str">
        <f>IF(L$1&lt;&gt;"",L7*1000*L9,"")</f>
        <v/>
      </c>
      <c r="M10" s="75" t="str">
        <f>IF(M$1&lt;&gt;"",M7*1000*M9,"")</f>
        <v/>
      </c>
      <c r="N10" s="75" t="str">
        <f>IF(N$1&lt;&gt;"",N7*1000*N9,"")</f>
        <v/>
      </c>
      <c r="O10" s="75" t="str">
        <f>IF(O$1&lt;&gt;"",O7*1000*O9,"")</f>
        <v/>
      </c>
      <c r="P10" s="75" t="str">
        <f>IF(P$1&lt;&gt;"",P7*1000*P9,"")</f>
        <v/>
      </c>
      <c r="Q10" s="75" t="str">
        <f>IF(Q$1&lt;&gt;"",Q7*1000*Q9,"")</f>
        <v/>
      </c>
      <c r="R10" s="75" t="str">
        <f>IF(R$1&lt;&gt;"",R7*1000*R9,"")</f>
        <v/>
      </c>
      <c r="XFA10" s="63">
        <v>0.01</v>
      </c>
      <c r="XFC10" s="64">
        <v>0.5</v>
      </c>
    </row>
    <row r="11" spans="1:18 16381:16384" ht="12.75" customHeight="1" x14ac:dyDescent="0.3">
      <c r="A11" s="61" t="s">
        <v>65</v>
      </c>
      <c r="B11" s="61"/>
      <c r="C11" s="49">
        <f>$C$21</f>
        <v>3.7037037037037036E-8</v>
      </c>
      <c r="D11" s="50">
        <f>IF(D$1="","",IF(2027=$C$25,$C$22,$C$21*(1+$C$23)^1))</f>
        <v>2.2107790733199234E-7</v>
      </c>
      <c r="E11" s="49">
        <f>IF(E$1="","",IF(2028=$C$25,$C$22,$C$21*(1+$C$23)^2))</f>
        <v>1.319636909977911E-6</v>
      </c>
      <c r="F11" s="49">
        <f>IF(F$1="","",IF(2029=$C$25,$C$22,$C$21*(1+$C$23)^3))</f>
        <v>7.87704929539128E-6</v>
      </c>
      <c r="G11" s="49">
        <f>IF(G$1="","",IF(2030=$C$25,$C$22,$C$21*(1+$C$23)^4))</f>
        <v>4.7018922502753321E-5</v>
      </c>
      <c r="H11" s="49">
        <f>IF(H$1="","",IF(2031=$C$25,$C$22,$C$21*(1+$C$23)^5))</f>
        <v>2.8066081478167335E-4</v>
      </c>
      <c r="I11" s="49">
        <f>IF(I$1="","",IF(2032=$C$25,$C$22,$C$21*(1+$C$23)^6))</f>
        <v>1.675293451254655E-3</v>
      </c>
      <c r="J11" s="49">
        <f>IF(J$1="","",IF(2033=$C$25,$C$22,$C$21*(1+$C$23)^7))</f>
        <v>0.01</v>
      </c>
      <c r="K11" s="78" t="str">
        <f>IF(K$1="","",IF(2034=$C$25,$C$22,$C$21*(1+$C$23)^8))</f>
        <v/>
      </c>
      <c r="L11" s="78" t="str">
        <f>IF(L$1="","",IF(2035=$C$25,$C$22,$C$21*(1+$C$23)^9))</f>
        <v/>
      </c>
      <c r="M11" s="78" t="str">
        <f>IF(M$1="","",IF(2036=$C$25,$C$22,$C$21*(1+$C$23)^10))</f>
        <v/>
      </c>
      <c r="N11" s="78" t="str">
        <f>IF(N$1="","",IF(2037=$C$25,$C$22,$C$21*(1+$C$23)^11))</f>
        <v/>
      </c>
      <c r="O11" s="78" t="str">
        <f>IF(O$1="","",IF(2038=$C$25,$C$22,$C$21*(1+$C$23)^12))</f>
        <v/>
      </c>
      <c r="P11" s="78" t="str">
        <f>IF(P$1="","",IF(2039=$C$25,$C$22,$C$21*(1+$C$23)^13))</f>
        <v/>
      </c>
      <c r="Q11" s="78" t="str">
        <f>IF(Q$1="","",IF(2040=$C$25,$C$22,$C$21*(1+$C$23)^14))</f>
        <v/>
      </c>
      <c r="R11" s="78" t="str">
        <f>IF(R$1="","",IF(2041=$C$25,$C$22,$C$21*(1+$C$23)^15))</f>
        <v/>
      </c>
      <c r="XFA11" s="63">
        <v>1.0999999999999999E-2</v>
      </c>
      <c r="XFC11" s="64">
        <v>0.55000000000000004</v>
      </c>
    </row>
    <row r="12" spans="1:18 16381:16384" ht="12.75" customHeight="1" x14ac:dyDescent="0.3">
      <c r="A12" s="61" t="s">
        <v>66</v>
      </c>
      <c r="B12" s="61"/>
      <c r="C12" s="41">
        <f>IF(C$1&lt;&gt;"",C10*1000000*C11,"")</f>
        <v>1000</v>
      </c>
      <c r="D12" s="42">
        <f>IF(D$1&lt;&gt;"",D10*1000000*D11,"")</f>
        <v>6649.5812967316651</v>
      </c>
      <c r="E12" s="41">
        <f>IF(E$1&lt;&gt;"",E10*1000000*E11,"")</f>
        <v>44216.931421843597</v>
      </c>
      <c r="F12" s="41">
        <f>IF(F$1&lt;&gt;"",F10*1000000*F11,"")</f>
        <v>294024.08018155786</v>
      </c>
      <c r="G12" s="41">
        <f>IF(G$1&lt;&gt;"",G10*1000000*G11,"")</f>
        <v>1955137.024364019</v>
      </c>
      <c r="H12" s="41">
        <f>IF(H$1&lt;&gt;"",H10*1000000*H11,"")</f>
        <v>13000842.589758582</v>
      </c>
      <c r="I12" s="41">
        <f>IF(I$1&lt;&gt;"",I10*1000000*I11,"")</f>
        <v>86450159.726611167</v>
      </c>
      <c r="J12" s="41">
        <f>IF(J$1&lt;&gt;"",J10*1000000*J11,"")</f>
        <v>574857365.21753907</v>
      </c>
      <c r="K12" s="79" t="str">
        <f>IF(K$1&lt;&gt;"",K10*1000000*K11,"")</f>
        <v/>
      </c>
      <c r="L12" s="79" t="str">
        <f>IF(L$1&lt;&gt;"",L10*1000000*L11,"")</f>
        <v/>
      </c>
      <c r="M12" s="79" t="str">
        <f>IF(M$1&lt;&gt;"",M10*1000000*M11,"")</f>
        <v/>
      </c>
      <c r="N12" s="79" t="str">
        <f>IF(N$1&lt;&gt;"",N10*1000000*N11,"")</f>
        <v/>
      </c>
      <c r="O12" s="79" t="str">
        <f>IF(O$1&lt;&gt;"",O10*1000000*O11,"")</f>
        <v/>
      </c>
      <c r="P12" s="79" t="str">
        <f>IF(P$1&lt;&gt;"",P10*1000000*P11,"")</f>
        <v/>
      </c>
      <c r="Q12" s="79" t="str">
        <f>IF(Q$1&lt;&gt;"",Q10*1000000*Q11,"")</f>
        <v/>
      </c>
      <c r="R12" s="79" t="str">
        <f>IF(R$1&lt;&gt;"",R10*1000000*R11,"")</f>
        <v/>
      </c>
      <c r="XFA12" s="63">
        <v>1.2E-2</v>
      </c>
      <c r="XFC12" s="64">
        <v>0.6</v>
      </c>
    </row>
    <row r="13" spans="1:18 16381:16384" ht="12.75" customHeight="1" x14ac:dyDescent="0.3">
      <c r="A13" s="61" t="s">
        <v>67</v>
      </c>
      <c r="B13" s="61"/>
      <c r="C13" s="76" t="s">
        <v>62</v>
      </c>
      <c r="D13" s="50">
        <f t="shared" ref="D13:J13" si="0">IF(OR(D$1="",C12="",C12=0,D12=""),"",D12/C12-1)</f>
        <v>5.6495812967316654</v>
      </c>
      <c r="E13" s="49">
        <f t="shared" si="0"/>
        <v>5.649581296731669</v>
      </c>
      <c r="F13" s="49">
        <f t="shared" si="0"/>
        <v>5.6495812967316654</v>
      </c>
      <c r="G13" s="49">
        <f t="shared" si="0"/>
        <v>5.6495812967316663</v>
      </c>
      <c r="H13" s="49">
        <f t="shared" si="0"/>
        <v>5.6495812967316645</v>
      </c>
      <c r="I13" s="49">
        <f t="shared" si="0"/>
        <v>5.6495812967316681</v>
      </c>
      <c r="J13" s="49">
        <f t="shared" si="0"/>
        <v>5.6495812967316699</v>
      </c>
      <c r="K13" s="77" t="str">
        <f>IF(K$1="","",IFERROR(K12/J12-1,0))</f>
        <v/>
      </c>
      <c r="L13" s="77" t="str">
        <f>IF(L$1="","",IFERROR(L12/K12-1,0))</f>
        <v/>
      </c>
      <c r="M13" s="77" t="str">
        <f>IF(M$1="","",IFERROR(M12/L12-1,0))</f>
        <v/>
      </c>
      <c r="N13" s="77" t="str">
        <f>IF(N$1="","",IFERROR(N12/M12-1,0))</f>
        <v/>
      </c>
      <c r="O13" s="77" t="str">
        <f>IF(O$1="","",IFERROR(O12/N12-1,0))</f>
        <v/>
      </c>
      <c r="P13" s="77" t="str">
        <f>IF(P$1="","",IFERROR(P12/O12-1,0))</f>
        <v/>
      </c>
      <c r="Q13" s="77" t="str">
        <f>IF(Q$1="","",IFERROR(Q12/P12-1,0))</f>
        <v/>
      </c>
      <c r="R13" s="77" t="str">
        <f>IF(R$1="","",IFERROR(R12/Q12-1,0))</f>
        <v/>
      </c>
      <c r="XFA13" s="63">
        <v>1.2999999999999999E-2</v>
      </c>
      <c r="XFC13" s="64">
        <v>0.65</v>
      </c>
    </row>
    <row r="14" spans="1:18 16381:16384" ht="12.75" customHeight="1" x14ac:dyDescent="0.3">
      <c r="A14" s="61"/>
      <c r="B14" s="61"/>
      <c r="C14" s="61"/>
      <c r="D14" s="70"/>
      <c r="E14" s="61"/>
      <c r="F14" s="61"/>
      <c r="G14" s="61"/>
      <c r="H14" s="61"/>
      <c r="I14" s="38"/>
      <c r="J14" s="38"/>
      <c r="XFA14" s="63">
        <v>1.4E-2</v>
      </c>
      <c r="XFC14" s="64">
        <v>0.7</v>
      </c>
    </row>
    <row r="15" spans="1:18 16381:16384" ht="18" customHeight="1" x14ac:dyDescent="0.3">
      <c r="A15" s="8" t="s">
        <v>68</v>
      </c>
      <c r="B15" s="8"/>
      <c r="C15" s="8"/>
      <c r="D15" s="8"/>
      <c r="E15" s="8"/>
      <c r="F15" s="8"/>
      <c r="G15" s="8"/>
      <c r="H15" s="8"/>
      <c r="I15" s="8"/>
      <c r="J15" s="8"/>
      <c r="K15" s="8"/>
      <c r="L15" s="8"/>
      <c r="M15" s="8"/>
      <c r="N15" s="8"/>
      <c r="O15" s="8"/>
      <c r="P15" s="8"/>
      <c r="Q15" s="8"/>
      <c r="R15" s="8"/>
      <c r="XFA15" s="63">
        <v>1.7999999999999999E-2</v>
      </c>
      <c r="XFC15" s="64">
        <v>0.9</v>
      </c>
    </row>
    <row r="16" spans="1:18 16381:16384" ht="12.75" customHeight="1" x14ac:dyDescent="0.3">
      <c r="A16" s="61" t="s">
        <v>69</v>
      </c>
      <c r="B16" s="38"/>
      <c r="C16" s="80">
        <v>360</v>
      </c>
      <c r="D16" s="59"/>
      <c r="E16" s="38"/>
      <c r="F16" s="38"/>
      <c r="G16" s="38"/>
      <c r="H16" s="38"/>
      <c r="I16" s="38"/>
      <c r="J16" s="38"/>
      <c r="XFA16" s="63">
        <v>1.9E-2</v>
      </c>
      <c r="XFC16" s="64">
        <v>0.95</v>
      </c>
    </row>
    <row r="17" spans="1:10 16381:16383" ht="12.75" customHeight="1" x14ac:dyDescent="0.3">
      <c r="A17" s="61" t="s">
        <v>63</v>
      </c>
      <c r="B17" s="38"/>
      <c r="C17" s="81">
        <f>$XFD$2/1000</f>
        <v>7.4999999999999997E-2</v>
      </c>
      <c r="D17" s="59"/>
      <c r="E17" s="38"/>
      <c r="F17" s="38"/>
      <c r="G17" s="38"/>
      <c r="H17" s="38"/>
      <c r="I17" s="38"/>
      <c r="J17" s="38"/>
      <c r="XFA17" s="63">
        <v>0.02</v>
      </c>
      <c r="XFC17" s="64">
        <v>1</v>
      </c>
    </row>
    <row r="18" spans="1:10 16381:16383" ht="12.75" customHeight="1" x14ac:dyDescent="0.3">
      <c r="A18" s="61" t="s">
        <v>70</v>
      </c>
      <c r="B18" s="38"/>
      <c r="C18" s="82">
        <f>C16*1000*C17</f>
        <v>27000</v>
      </c>
      <c r="D18" s="59"/>
      <c r="E18" s="38"/>
      <c r="F18" s="38"/>
      <c r="G18" s="38"/>
      <c r="H18" s="38"/>
      <c r="I18" s="38"/>
      <c r="J18" s="38"/>
      <c r="XFA18" s="63">
        <v>2.1000000000000001E-2</v>
      </c>
    </row>
    <row r="19" spans="1:10 16381:16383" ht="12.75" customHeight="1" x14ac:dyDescent="0.3">
      <c r="A19" s="61" t="s">
        <v>61</v>
      </c>
      <c r="B19" s="38"/>
      <c r="C19" s="81">
        <f>$XFD$3/1000</f>
        <v>0.114</v>
      </c>
      <c r="D19" s="59"/>
      <c r="E19" s="38"/>
      <c r="F19" s="38"/>
      <c r="G19" s="38"/>
      <c r="H19" s="38"/>
      <c r="I19" s="38"/>
      <c r="J19" s="38"/>
      <c r="XFA19" s="63">
        <v>2.1999999999999999E-2</v>
      </c>
    </row>
    <row r="20" spans="1:10 16381:16383" ht="12.75" customHeight="1" x14ac:dyDescent="0.3">
      <c r="A20" s="61" t="s">
        <v>71</v>
      </c>
      <c r="B20" s="38"/>
      <c r="C20" s="83">
        <v>1E-3</v>
      </c>
      <c r="D20" s="59"/>
      <c r="E20" s="38"/>
      <c r="F20" s="38"/>
      <c r="G20" s="38"/>
      <c r="H20" s="38"/>
      <c r="I20" s="38"/>
      <c r="J20" s="38"/>
      <c r="XFA20" s="63">
        <v>2.3E-2</v>
      </c>
    </row>
    <row r="21" spans="1:10 16381:16383" ht="12.75" customHeight="1" x14ac:dyDescent="0.3">
      <c r="A21" s="61" t="s">
        <v>72</v>
      </c>
      <c r="B21" s="38"/>
      <c r="C21" s="84">
        <f>IF(OR(C18="",C18=0,C20=""),"",C20/C18)</f>
        <v>3.7037037037037036E-8</v>
      </c>
      <c r="D21" s="59"/>
      <c r="E21" s="38"/>
      <c r="F21" s="38"/>
      <c r="G21" s="38"/>
      <c r="H21" s="38"/>
      <c r="I21" s="38"/>
      <c r="J21" s="38"/>
      <c r="XFA21" s="63">
        <v>2.4E-2</v>
      </c>
    </row>
    <row r="22" spans="1:10 16381:16383" ht="12.75" customHeight="1" x14ac:dyDescent="0.3">
      <c r="A22" s="61" t="s">
        <v>73</v>
      </c>
      <c r="B22" s="38"/>
      <c r="C22" s="81">
        <f>$XFD$1/10000</f>
        <v>0.01</v>
      </c>
      <c r="D22" s="59"/>
      <c r="E22" s="38"/>
      <c r="F22" s="38"/>
      <c r="G22" s="38"/>
      <c r="H22" s="38"/>
      <c r="I22" s="38"/>
      <c r="J22" s="38"/>
      <c r="XFA22" s="63">
        <v>2.5000000000000001E-2</v>
      </c>
    </row>
    <row r="23" spans="1:10 16381:16383" ht="12.75" customHeight="1" x14ac:dyDescent="0.3">
      <c r="A23" s="61" t="s">
        <v>74</v>
      </c>
      <c r="B23" s="38"/>
      <c r="C23" s="84">
        <f>IF(OR(C21&lt;=0,C22&lt;=0,C24&lt;=0),0,(C22/C21)^(1/C24)-1)</f>
        <v>4.9691034979637934</v>
      </c>
      <c r="D23" s="59"/>
      <c r="E23" s="38"/>
      <c r="F23" s="38"/>
      <c r="G23" s="38"/>
      <c r="H23" s="38"/>
      <c r="I23" s="38"/>
      <c r="J23" s="38"/>
      <c r="XFA23" s="63">
        <v>2.5999999999999999E-2</v>
      </c>
    </row>
    <row r="24" spans="1:10 16381:16383" ht="12.75" customHeight="1" x14ac:dyDescent="0.3">
      <c r="A24" s="61" t="s">
        <v>75</v>
      </c>
      <c r="B24" s="38"/>
      <c r="C24" s="85">
        <f>$XFD$4</f>
        <v>7</v>
      </c>
      <c r="D24" s="86"/>
      <c r="E24" s="87"/>
      <c r="F24" s="87"/>
      <c r="G24" s="87"/>
      <c r="H24" s="87"/>
      <c r="I24" s="38"/>
      <c r="J24" s="38"/>
      <c r="XFA24" s="63">
        <v>2.7E-2</v>
      </c>
    </row>
    <row r="25" spans="1:10 16381:16383" ht="12.75" customHeight="1" x14ac:dyDescent="0.3">
      <c r="A25" s="61" t="s">
        <v>76</v>
      </c>
      <c r="B25" s="38"/>
      <c r="C25" s="85">
        <f>2026+C24</f>
        <v>2033</v>
      </c>
      <c r="D25" s="70"/>
      <c r="E25" s="61"/>
      <c r="F25" s="61"/>
      <c r="G25" s="61"/>
      <c r="H25" s="61"/>
      <c r="I25" s="38"/>
      <c r="J25" s="38"/>
      <c r="XFA25" s="63">
        <v>2.8000000000000001E-2</v>
      </c>
    </row>
    <row r="26" spans="1:10 16381:16383" ht="12.75" customHeight="1" x14ac:dyDescent="0.3">
      <c r="A26" s="61"/>
      <c r="B26" s="61"/>
      <c r="C26" s="61"/>
      <c r="D26" s="61"/>
      <c r="E26" s="61"/>
      <c r="F26" s="61"/>
      <c r="G26" s="61"/>
      <c r="H26" s="61"/>
      <c r="I26" s="38"/>
      <c r="J26" s="38"/>
      <c r="XFA26" s="63">
        <v>2.9000000000000001E-2</v>
      </c>
    </row>
    <row r="27" spans="1:10 16381:16383" ht="12.75" customHeight="1" x14ac:dyDescent="0.3">
      <c r="A27" s="12" t="s">
        <v>77</v>
      </c>
      <c r="B27" s="12"/>
      <c r="C27" s="12"/>
      <c r="D27" s="12"/>
      <c r="E27" s="12"/>
      <c r="F27" s="12"/>
      <c r="G27" s="12"/>
      <c r="H27" s="12"/>
      <c r="I27" s="88"/>
      <c r="J27" s="88"/>
      <c r="XFA27" s="63">
        <v>3.1E-2</v>
      </c>
    </row>
    <row r="28" spans="1:10 16381:16383" ht="27.75" customHeight="1" x14ac:dyDescent="0.3">
      <c r="A28" s="7" t="s">
        <v>78</v>
      </c>
      <c r="B28" s="7"/>
      <c r="C28" s="7"/>
      <c r="D28" s="7"/>
      <c r="E28" s="7"/>
      <c r="F28" s="7"/>
      <c r="G28" s="7"/>
      <c r="H28" s="7"/>
      <c r="I28" s="89"/>
      <c r="J28" s="89"/>
      <c r="XFA28" s="63">
        <v>3.2000000000000001E-2</v>
      </c>
    </row>
    <row r="29" spans="1:10 16381:16383" ht="27.75" customHeight="1" x14ac:dyDescent="0.3">
      <c r="A29" s="7" t="s">
        <v>79</v>
      </c>
      <c r="B29" s="7"/>
      <c r="C29" s="7"/>
      <c r="D29" s="7"/>
      <c r="E29" s="7"/>
      <c r="F29" s="7"/>
      <c r="G29" s="7"/>
      <c r="H29" s="7"/>
      <c r="I29" s="89"/>
      <c r="J29" s="89"/>
      <c r="XFA29" s="63">
        <v>3.3000000000000002E-2</v>
      </c>
    </row>
    <row r="30" spans="1:10 16381:16383" ht="27.75" customHeight="1" x14ac:dyDescent="0.3">
      <c r="A30" s="7" t="s">
        <v>80</v>
      </c>
      <c r="B30" s="7"/>
      <c r="C30" s="7"/>
      <c r="D30" s="7"/>
      <c r="E30" s="7"/>
      <c r="F30" s="7"/>
      <c r="G30" s="7"/>
      <c r="H30" s="7"/>
      <c r="I30" s="89"/>
      <c r="J30" s="89"/>
      <c r="XFA30" s="63">
        <v>3.4000000000000002E-2</v>
      </c>
    </row>
    <row r="31" spans="1:10 16381:16383" ht="27.75" customHeight="1" x14ac:dyDescent="0.3">
      <c r="A31" s="7" t="s">
        <v>81</v>
      </c>
      <c r="B31" s="7"/>
      <c r="C31" s="7"/>
      <c r="D31" s="7"/>
      <c r="E31" s="7"/>
      <c r="F31" s="7"/>
      <c r="G31" s="7"/>
      <c r="H31" s="7"/>
      <c r="I31" s="89"/>
      <c r="J31" s="89"/>
      <c r="XFA31" s="63">
        <v>3.5000000000000003E-2</v>
      </c>
    </row>
    <row r="32" spans="1:10 16381:16383" ht="27.75" customHeight="1" x14ac:dyDescent="0.3">
      <c r="A32" s="7" t="s">
        <v>82</v>
      </c>
      <c r="B32" s="7"/>
      <c r="C32" s="7"/>
      <c r="D32" s="7"/>
      <c r="E32" s="7"/>
      <c r="F32" s="7"/>
      <c r="G32" s="7"/>
      <c r="H32" s="7"/>
      <c r="I32" s="89"/>
      <c r="J32" s="89"/>
      <c r="XFA32" s="63">
        <v>3.5999999999999997E-2</v>
      </c>
    </row>
    <row r="33" spans="1:8 16381:16381" ht="12.75" customHeight="1" x14ac:dyDescent="0.3">
      <c r="A33" s="90"/>
      <c r="B33" s="90"/>
      <c r="C33" s="90"/>
      <c r="D33" s="90"/>
      <c r="E33" s="90"/>
      <c r="F33" s="90"/>
      <c r="G33" s="90"/>
      <c r="H33" s="90"/>
      <c r="XFA33" s="63">
        <v>3.6999999999999998E-2</v>
      </c>
    </row>
    <row r="34" spans="1:8 16381:16381" ht="12.75" customHeight="1" x14ac:dyDescent="0.3">
      <c r="XFA34" s="63">
        <v>3.7999999999999999E-2</v>
      </c>
    </row>
    <row r="35" spans="1:8 16381:16381" ht="12.75" customHeight="1" x14ac:dyDescent="0.3">
      <c r="XFA35" s="63">
        <v>3.9E-2</v>
      </c>
    </row>
    <row r="36" spans="1:8 16381:16381" ht="12.75" customHeight="1" x14ac:dyDescent="0.3">
      <c r="XFA36" s="63">
        <v>0.04</v>
      </c>
    </row>
    <row r="37" spans="1:8 16381:16381" ht="12.75" customHeight="1" x14ac:dyDescent="0.3">
      <c r="XFA37" s="63">
        <v>4.1000000000000002E-2</v>
      </c>
    </row>
    <row r="38" spans="1:8 16381:16381" ht="12.75" customHeight="1" x14ac:dyDescent="0.3">
      <c r="XFA38" s="63">
        <v>4.2000000000000003E-2</v>
      </c>
    </row>
    <row r="39" spans="1:8 16381:16381" ht="12.75" customHeight="1" x14ac:dyDescent="0.3">
      <c r="XFA39" s="63">
        <v>4.2999999999999997E-2</v>
      </c>
    </row>
    <row r="40" spans="1:8 16381:16381" ht="12.75" customHeight="1" x14ac:dyDescent="0.3">
      <c r="XFA40" s="63">
        <v>4.3999999999999997E-2</v>
      </c>
    </row>
    <row r="41" spans="1:8 16381:16381" ht="12.75" customHeight="1" x14ac:dyDescent="0.3">
      <c r="XFA41" s="63">
        <v>4.4999999999999998E-2</v>
      </c>
    </row>
    <row r="42" spans="1:8 16381:16381" ht="12.75" customHeight="1" x14ac:dyDescent="0.3">
      <c r="XFA42" s="63">
        <v>4.5999999999999999E-2</v>
      </c>
    </row>
    <row r="43" spans="1:8 16381:16381" ht="12.75" customHeight="1" x14ac:dyDescent="0.3">
      <c r="XFA43" s="63">
        <v>4.7E-2</v>
      </c>
    </row>
    <row r="44" spans="1:8 16381:16381" ht="12.75" customHeight="1" x14ac:dyDescent="0.3">
      <c r="XFA44" s="63">
        <v>4.8000000000000001E-2</v>
      </c>
    </row>
    <row r="45" spans="1:8 16381:16381" ht="12.75" customHeight="1" x14ac:dyDescent="0.3">
      <c r="XFA45" s="63">
        <v>4.9000000000000002E-2</v>
      </c>
    </row>
    <row r="46" spans="1:8 16381:16381" ht="12.75" customHeight="1" x14ac:dyDescent="0.3">
      <c r="XFA46" s="63">
        <v>0.05</v>
      </c>
    </row>
    <row r="47" spans="1:8 16381:16381" ht="12.75" customHeight="1" x14ac:dyDescent="0.3">
      <c r="XFA47" s="63">
        <v>5.0999999999999997E-2</v>
      </c>
    </row>
    <row r="48" spans="1:8 16381:16381" ht="12.75" customHeight="1" x14ac:dyDescent="0.3">
      <c r="XFA48" s="63">
        <v>5.1999999999999998E-2</v>
      </c>
    </row>
    <row r="49" spans="16381:16381" ht="12.75" customHeight="1" x14ac:dyDescent="0.3">
      <c r="XFA49" s="63">
        <v>5.2999999999999999E-2</v>
      </c>
    </row>
    <row r="50" spans="16381:16381" ht="12.75" customHeight="1" x14ac:dyDescent="0.3">
      <c r="XFA50" s="63">
        <v>5.3999999999999999E-2</v>
      </c>
    </row>
    <row r="51" spans="16381:16381" ht="12.75" customHeight="1" x14ac:dyDescent="0.3">
      <c r="XFA51" s="63">
        <v>5.5E-2</v>
      </c>
    </row>
    <row r="52" spans="16381:16381" ht="12.75" customHeight="1" x14ac:dyDescent="0.3">
      <c r="XFA52" s="63">
        <v>5.6000000000000001E-2</v>
      </c>
    </row>
    <row r="53" spans="16381:16381" ht="12.75" customHeight="1" x14ac:dyDescent="0.3">
      <c r="XFA53" s="63">
        <v>5.7000000000000002E-2</v>
      </c>
    </row>
    <row r="54" spans="16381:16381" ht="12.75" customHeight="1" x14ac:dyDescent="0.3">
      <c r="XFA54" s="63">
        <v>5.8000000000000003E-2</v>
      </c>
    </row>
    <row r="55" spans="16381:16381" ht="12.75" customHeight="1" x14ac:dyDescent="0.3">
      <c r="XFA55" s="63">
        <v>5.8999999999999997E-2</v>
      </c>
    </row>
    <row r="56" spans="16381:16381" ht="12.75" customHeight="1" x14ac:dyDescent="0.3">
      <c r="XFA56" s="63">
        <v>0.06</v>
      </c>
    </row>
    <row r="57" spans="16381:16381" ht="12.75" customHeight="1" x14ac:dyDescent="0.3">
      <c r="XFA57" s="63">
        <v>6.0999999999999999E-2</v>
      </c>
    </row>
    <row r="58" spans="16381:16381" ht="12.75" customHeight="1" x14ac:dyDescent="0.3">
      <c r="XFA58" s="63">
        <v>6.2E-2</v>
      </c>
    </row>
    <row r="59" spans="16381:16381" ht="12.75" customHeight="1" x14ac:dyDescent="0.3">
      <c r="XFA59" s="63">
        <v>6.3E-2</v>
      </c>
    </row>
    <row r="60" spans="16381:16381" ht="12.75" customHeight="1" x14ac:dyDescent="0.3">
      <c r="XFA60" s="63">
        <v>6.4000000000000001E-2</v>
      </c>
    </row>
    <row r="61" spans="16381:16381" ht="12.75" customHeight="1" x14ac:dyDescent="0.3">
      <c r="XFA61" s="63">
        <v>6.5000000000000002E-2</v>
      </c>
    </row>
    <row r="62" spans="16381:16381" ht="12.75" customHeight="1" x14ac:dyDescent="0.3">
      <c r="XFA62" s="63">
        <v>6.6000000000000003E-2</v>
      </c>
    </row>
    <row r="63" spans="16381:16381" ht="12.75" customHeight="1" x14ac:dyDescent="0.3">
      <c r="XFA63" s="63">
        <v>6.7000000000000004E-2</v>
      </c>
    </row>
    <row r="64" spans="16381:16381" ht="12.75" customHeight="1" x14ac:dyDescent="0.3">
      <c r="XFA64" s="63">
        <v>6.8000000000000005E-2</v>
      </c>
    </row>
    <row r="65" spans="16381:16381" ht="12.75" customHeight="1" x14ac:dyDescent="0.3">
      <c r="XFA65" s="63">
        <v>6.9000000000000006E-2</v>
      </c>
    </row>
    <row r="66" spans="16381:16381" ht="12.75" customHeight="1" x14ac:dyDescent="0.3">
      <c r="XFA66" s="63">
        <v>7.0000000000000007E-2</v>
      </c>
    </row>
    <row r="67" spans="16381:16381" ht="12.75" customHeight="1" x14ac:dyDescent="0.3">
      <c r="XFA67" s="63">
        <v>7.0999999999999994E-2</v>
      </c>
    </row>
    <row r="68" spans="16381:16381" ht="12.75" customHeight="1" x14ac:dyDescent="0.3">
      <c r="XFA68" s="63">
        <v>7.1999999999999995E-2</v>
      </c>
    </row>
    <row r="69" spans="16381:16381" ht="12.75" customHeight="1" x14ac:dyDescent="0.3">
      <c r="XFA69" s="63">
        <v>7.2999999999999995E-2</v>
      </c>
    </row>
    <row r="70" spans="16381:16381" ht="12.75" customHeight="1" x14ac:dyDescent="0.3">
      <c r="XFA70" s="63">
        <v>7.3999999999999996E-2</v>
      </c>
    </row>
    <row r="71" spans="16381:16381" ht="12.75" customHeight="1" x14ac:dyDescent="0.3">
      <c r="XFA71" s="63">
        <v>7.4999999999999997E-2</v>
      </c>
    </row>
    <row r="72" spans="16381:16381" ht="12.75" customHeight="1" x14ac:dyDescent="0.3">
      <c r="XFA72" s="63">
        <v>7.5999999999999998E-2</v>
      </c>
    </row>
    <row r="73" spans="16381:16381" ht="12.75" customHeight="1" x14ac:dyDescent="0.3">
      <c r="XFA73" s="63">
        <v>7.6999999999999999E-2</v>
      </c>
    </row>
    <row r="74" spans="16381:16381" ht="12.75" customHeight="1" x14ac:dyDescent="0.3">
      <c r="XFA74" s="63">
        <v>7.8E-2</v>
      </c>
    </row>
    <row r="75" spans="16381:16381" ht="12.75" customHeight="1" x14ac:dyDescent="0.3">
      <c r="XFA75" s="63">
        <v>7.9000000000000001E-2</v>
      </c>
    </row>
    <row r="76" spans="16381:16381" ht="12.75" customHeight="1" x14ac:dyDescent="0.3">
      <c r="XFA76" s="63">
        <v>0.08</v>
      </c>
    </row>
    <row r="77" spans="16381:16381" ht="12.75" customHeight="1" x14ac:dyDescent="0.3">
      <c r="XFA77" s="63">
        <v>8.1000000000000003E-2</v>
      </c>
    </row>
    <row r="78" spans="16381:16381" ht="12.75" customHeight="1" x14ac:dyDescent="0.3">
      <c r="XFA78" s="63">
        <v>8.2000000000000003E-2</v>
      </c>
    </row>
    <row r="79" spans="16381:16381" ht="12.75" customHeight="1" x14ac:dyDescent="0.3">
      <c r="XFA79" s="63">
        <v>8.3000000000000004E-2</v>
      </c>
    </row>
    <row r="80" spans="16381:16381" ht="12.75" customHeight="1" x14ac:dyDescent="0.3">
      <c r="XFA80" s="63">
        <v>8.4000000000000005E-2</v>
      </c>
    </row>
    <row r="81" spans="16381:16381" ht="12.75" customHeight="1" x14ac:dyDescent="0.3">
      <c r="XFA81" s="63">
        <v>8.5000000000000006E-2</v>
      </c>
    </row>
    <row r="82" spans="16381:16381" ht="12.75" customHeight="1" x14ac:dyDescent="0.3">
      <c r="XFA82" s="63">
        <v>8.5999999999999993E-2</v>
      </c>
    </row>
    <row r="83" spans="16381:16381" ht="12.75" customHeight="1" x14ac:dyDescent="0.3">
      <c r="XFA83" s="63">
        <v>8.6999999999999994E-2</v>
      </c>
    </row>
    <row r="84" spans="16381:16381" ht="12.75" customHeight="1" x14ac:dyDescent="0.3">
      <c r="XFA84" s="63">
        <v>8.7999999999999995E-2</v>
      </c>
    </row>
    <row r="85" spans="16381:16381" ht="12.75" customHeight="1" x14ac:dyDescent="0.3">
      <c r="XFA85" s="63">
        <v>8.8999999999999996E-2</v>
      </c>
    </row>
    <row r="86" spans="16381:16381" ht="12.75" customHeight="1" x14ac:dyDescent="0.3">
      <c r="XFA86" s="63">
        <v>0.09</v>
      </c>
    </row>
    <row r="87" spans="16381:16381" ht="12.75" customHeight="1" x14ac:dyDescent="0.3">
      <c r="XFA87" s="63">
        <v>9.0999999999999998E-2</v>
      </c>
    </row>
    <row r="88" spans="16381:16381" ht="12.75" customHeight="1" x14ac:dyDescent="0.3">
      <c r="XFA88" s="63">
        <v>9.1999999999999998E-2</v>
      </c>
    </row>
    <row r="89" spans="16381:16381" ht="12.75" customHeight="1" x14ac:dyDescent="0.3">
      <c r="XFA89" s="63">
        <v>9.2999999999999999E-2</v>
      </c>
    </row>
    <row r="90" spans="16381:16381" ht="12.75" customHeight="1" x14ac:dyDescent="0.3">
      <c r="XFA90" s="63">
        <v>9.4E-2</v>
      </c>
    </row>
    <row r="91" spans="16381:16381" ht="12.75" customHeight="1" x14ac:dyDescent="0.3">
      <c r="XFA91" s="63">
        <v>9.5000000000000001E-2</v>
      </c>
    </row>
    <row r="92" spans="16381:16381" ht="12.75" customHeight="1" x14ac:dyDescent="0.3">
      <c r="XFA92" s="63">
        <v>9.6000000000000002E-2</v>
      </c>
    </row>
    <row r="93" spans="16381:16381" ht="12.75" customHeight="1" x14ac:dyDescent="0.3">
      <c r="XFA93" s="63">
        <v>9.7000000000000003E-2</v>
      </c>
    </row>
    <row r="94" spans="16381:16381" ht="12.75" customHeight="1" x14ac:dyDescent="0.3">
      <c r="XFA94" s="63">
        <v>9.8000000000000004E-2</v>
      </c>
    </row>
    <row r="95" spans="16381:16381" ht="12.75" customHeight="1" x14ac:dyDescent="0.3">
      <c r="XFA95" s="63">
        <v>9.9000000000000005E-2</v>
      </c>
    </row>
    <row r="96" spans="16381:16381" ht="12.75" customHeight="1" x14ac:dyDescent="0.3">
      <c r="XFA96" s="63">
        <v>0.1</v>
      </c>
    </row>
    <row r="97" spans="16381:16381" ht="12.75" customHeight="1" x14ac:dyDescent="0.3">
      <c r="XFA97" s="63">
        <v>0.10100000000000001</v>
      </c>
    </row>
    <row r="98" spans="16381:16381" ht="12.75" customHeight="1" x14ac:dyDescent="0.3">
      <c r="XFA98" s="63">
        <v>0.10199999999999999</v>
      </c>
    </row>
    <row r="99" spans="16381:16381" ht="12.75" customHeight="1" x14ac:dyDescent="0.3">
      <c r="XFA99" s="63">
        <v>0.10299999999999999</v>
      </c>
    </row>
    <row r="100" spans="16381:16381" ht="12.75" customHeight="1" x14ac:dyDescent="0.3">
      <c r="XFA100" s="63">
        <v>0.104</v>
      </c>
    </row>
    <row r="101" spans="16381:16381" ht="12.75" customHeight="1" x14ac:dyDescent="0.3">
      <c r="XFA101" s="63">
        <v>0.105</v>
      </c>
    </row>
    <row r="102" spans="16381:16381" ht="12.75" customHeight="1" x14ac:dyDescent="0.3">
      <c r="XFA102" s="63">
        <v>0.106</v>
      </c>
    </row>
    <row r="103" spans="16381:16381" ht="12.75" customHeight="1" x14ac:dyDescent="0.3">
      <c r="XFA103" s="63">
        <v>0.107</v>
      </c>
    </row>
    <row r="104" spans="16381:16381" ht="12.75" customHeight="1" x14ac:dyDescent="0.3">
      <c r="XFA104" s="63">
        <v>0.108</v>
      </c>
    </row>
    <row r="105" spans="16381:16381" ht="12.75" customHeight="1" x14ac:dyDescent="0.3">
      <c r="XFA105" s="63">
        <v>0.109</v>
      </c>
    </row>
    <row r="106" spans="16381:16381" ht="12.75" customHeight="1" x14ac:dyDescent="0.3">
      <c r="XFA106" s="63">
        <v>0.11</v>
      </c>
    </row>
    <row r="107" spans="16381:16381" ht="12.75" customHeight="1" x14ac:dyDescent="0.3">
      <c r="XFA107" s="63">
        <v>0.111</v>
      </c>
    </row>
    <row r="108" spans="16381:16381" ht="12.75" customHeight="1" x14ac:dyDescent="0.3">
      <c r="XFA108" s="63">
        <v>0.112</v>
      </c>
    </row>
    <row r="109" spans="16381:16381" ht="12.75" customHeight="1" x14ac:dyDescent="0.3">
      <c r="XFA109" s="63">
        <v>0.113</v>
      </c>
    </row>
    <row r="110" spans="16381:16381" ht="12.75" customHeight="1" x14ac:dyDescent="0.3">
      <c r="XFA110" s="63">
        <v>0.114</v>
      </c>
    </row>
    <row r="111" spans="16381:16381" ht="12.75" customHeight="1" x14ac:dyDescent="0.3">
      <c r="XFA111" s="63">
        <v>0.115</v>
      </c>
    </row>
    <row r="112" spans="16381:16381" ht="12.75" customHeight="1" x14ac:dyDescent="0.3">
      <c r="XFA112" s="63">
        <v>0.11600000000000001</v>
      </c>
    </row>
    <row r="113" spans="16381:16381" ht="12.75" customHeight="1" x14ac:dyDescent="0.3">
      <c r="XFA113" s="63">
        <v>0.11700000000000001</v>
      </c>
    </row>
    <row r="114" spans="16381:16381" ht="12.75" customHeight="1" x14ac:dyDescent="0.3">
      <c r="XFA114" s="63">
        <v>0.11799999999999999</v>
      </c>
    </row>
    <row r="115" spans="16381:16381" ht="12.75" customHeight="1" x14ac:dyDescent="0.3">
      <c r="XFA115" s="63">
        <v>0.11899999999999999</v>
      </c>
    </row>
    <row r="116" spans="16381:16381" ht="12.75" customHeight="1" x14ac:dyDescent="0.3">
      <c r="XFA116" s="63">
        <v>0.12</v>
      </c>
    </row>
    <row r="117" spans="16381:16381" ht="12.75" customHeight="1" x14ac:dyDescent="0.3">
      <c r="XFA117" s="63">
        <v>0.121</v>
      </c>
    </row>
    <row r="118" spans="16381:16381" ht="12.75" customHeight="1" x14ac:dyDescent="0.3">
      <c r="XFA118" s="63">
        <v>0.122</v>
      </c>
    </row>
    <row r="119" spans="16381:16381" ht="12.75" customHeight="1" x14ac:dyDescent="0.3">
      <c r="XFA119" s="63">
        <v>0.123</v>
      </c>
    </row>
    <row r="120" spans="16381:16381" ht="12.75" customHeight="1" x14ac:dyDescent="0.3">
      <c r="XFA120" s="63">
        <v>0.124</v>
      </c>
    </row>
    <row r="121" spans="16381:16381" ht="12.75" customHeight="1" x14ac:dyDescent="0.3">
      <c r="XFA121" s="63">
        <v>0.125</v>
      </c>
    </row>
    <row r="122" spans="16381:16381" ht="12.75" customHeight="1" x14ac:dyDescent="0.3">
      <c r="XFA122" s="63">
        <v>0.126</v>
      </c>
    </row>
    <row r="123" spans="16381:16381" ht="12.75" customHeight="1" x14ac:dyDescent="0.3">
      <c r="XFA123" s="63">
        <v>0.127</v>
      </c>
    </row>
    <row r="124" spans="16381:16381" ht="12.75" customHeight="1" x14ac:dyDescent="0.3">
      <c r="XFA124" s="63">
        <v>0.128</v>
      </c>
    </row>
    <row r="125" spans="16381:16381" ht="12.75" customHeight="1" x14ac:dyDescent="0.3">
      <c r="XFA125" s="63">
        <v>0.129</v>
      </c>
    </row>
    <row r="126" spans="16381:16381" ht="12.75" customHeight="1" x14ac:dyDescent="0.3">
      <c r="XFA126" s="63">
        <v>0.13</v>
      </c>
    </row>
    <row r="127" spans="16381:16381" ht="12.75" customHeight="1" x14ac:dyDescent="0.3">
      <c r="XFA127" s="63">
        <v>0.13100000000000001</v>
      </c>
    </row>
    <row r="128" spans="16381:16381" ht="12.75" customHeight="1" x14ac:dyDescent="0.3">
      <c r="XFA128" s="63">
        <v>0.13200000000000001</v>
      </c>
    </row>
    <row r="129" spans="16381:16381" ht="12.75" customHeight="1" x14ac:dyDescent="0.3">
      <c r="XFA129" s="63">
        <v>0.13300000000000001</v>
      </c>
    </row>
    <row r="130" spans="16381:16381" ht="12.75" customHeight="1" x14ac:dyDescent="0.3">
      <c r="XFA130" s="63">
        <v>0.13400000000000001</v>
      </c>
    </row>
    <row r="131" spans="16381:16381" ht="12.75" customHeight="1" x14ac:dyDescent="0.3">
      <c r="XFA131" s="63">
        <v>0.13500000000000001</v>
      </c>
    </row>
    <row r="132" spans="16381:16381" ht="12.75" customHeight="1" x14ac:dyDescent="0.3">
      <c r="XFA132" s="63">
        <v>0.13600000000000001</v>
      </c>
    </row>
    <row r="133" spans="16381:16381" ht="12.75" customHeight="1" x14ac:dyDescent="0.3">
      <c r="XFA133" s="63">
        <v>0.13700000000000001</v>
      </c>
    </row>
    <row r="134" spans="16381:16381" ht="12.75" customHeight="1" x14ac:dyDescent="0.3">
      <c r="XFA134" s="63">
        <v>0.13800000000000001</v>
      </c>
    </row>
    <row r="135" spans="16381:16381" ht="12.75" customHeight="1" x14ac:dyDescent="0.3">
      <c r="XFA135" s="63">
        <v>0.13900000000000001</v>
      </c>
    </row>
    <row r="136" spans="16381:16381" ht="12.75" customHeight="1" x14ac:dyDescent="0.3">
      <c r="XFA136" s="63">
        <v>0.14000000000000001</v>
      </c>
    </row>
    <row r="137" spans="16381:16381" ht="12.75" customHeight="1" x14ac:dyDescent="0.3">
      <c r="XFA137" s="63">
        <v>0.14099999999999999</v>
      </c>
    </row>
    <row r="138" spans="16381:16381" ht="12.75" customHeight="1" x14ac:dyDescent="0.3">
      <c r="XFA138" s="63">
        <v>0.14199999999999999</v>
      </c>
    </row>
    <row r="139" spans="16381:16381" ht="12.75" customHeight="1" x14ac:dyDescent="0.3">
      <c r="XFA139" s="63">
        <v>0.14299999999999999</v>
      </c>
    </row>
    <row r="140" spans="16381:16381" ht="12.75" customHeight="1" x14ac:dyDescent="0.3">
      <c r="XFA140" s="63">
        <v>0.14399999999999999</v>
      </c>
    </row>
    <row r="141" spans="16381:16381" ht="12.75" customHeight="1" x14ac:dyDescent="0.3">
      <c r="XFA141" s="63">
        <v>0.14499999999999999</v>
      </c>
    </row>
    <row r="142" spans="16381:16381" ht="12.75" customHeight="1" x14ac:dyDescent="0.3">
      <c r="XFA142" s="63">
        <v>0.14599999999999999</v>
      </c>
    </row>
    <row r="143" spans="16381:16381" ht="12.75" customHeight="1" x14ac:dyDescent="0.3">
      <c r="XFA143" s="63">
        <v>0.14699999999999999</v>
      </c>
    </row>
    <row r="144" spans="16381:16381" ht="12.75" customHeight="1" x14ac:dyDescent="0.3">
      <c r="XFA144" s="63">
        <v>0.14799999999999999</v>
      </c>
    </row>
    <row r="145" spans="16381:16381" ht="12.75" customHeight="1" x14ac:dyDescent="0.3">
      <c r="XFA145" s="63">
        <v>0.14899999999999999</v>
      </c>
    </row>
    <row r="146" spans="16381:16381" ht="12.75" customHeight="1" x14ac:dyDescent="0.3">
      <c r="XFA146" s="63">
        <v>0.15</v>
      </c>
    </row>
    <row r="147" spans="16381:16381" ht="12.75" customHeight="1" x14ac:dyDescent="0.3">
      <c r="XFA147" s="63">
        <v>0.151</v>
      </c>
    </row>
    <row r="148" spans="16381:16381" ht="12.75" customHeight="1" x14ac:dyDescent="0.3">
      <c r="XFA148" s="63">
        <v>0.152</v>
      </c>
    </row>
    <row r="149" spans="16381:16381" ht="12.75" customHeight="1" x14ac:dyDescent="0.3">
      <c r="XFA149" s="63">
        <v>0.153</v>
      </c>
    </row>
    <row r="150" spans="16381:16381" ht="12.75" customHeight="1" x14ac:dyDescent="0.3">
      <c r="XFA150" s="63">
        <v>0.154</v>
      </c>
    </row>
    <row r="151" spans="16381:16381" ht="12.75" customHeight="1" x14ac:dyDescent="0.3">
      <c r="XFA151" s="63">
        <v>0.155</v>
      </c>
    </row>
    <row r="152" spans="16381:16381" ht="12.75" customHeight="1" x14ac:dyDescent="0.3">
      <c r="XFA152" s="63">
        <v>0.156</v>
      </c>
    </row>
    <row r="153" spans="16381:16381" ht="12.75" customHeight="1" x14ac:dyDescent="0.3">
      <c r="XFA153" s="63">
        <v>0.157</v>
      </c>
    </row>
    <row r="154" spans="16381:16381" ht="12.75" customHeight="1" x14ac:dyDescent="0.3">
      <c r="XFA154" s="63">
        <v>0.158</v>
      </c>
    </row>
    <row r="155" spans="16381:16381" ht="12.75" customHeight="1" x14ac:dyDescent="0.3">
      <c r="XFA155" s="63">
        <v>0.159</v>
      </c>
    </row>
    <row r="156" spans="16381:16381" ht="12.75" customHeight="1" x14ac:dyDescent="0.3">
      <c r="XFA156" s="63">
        <v>0.16</v>
      </c>
    </row>
    <row r="157" spans="16381:16381" ht="12.75" customHeight="1" x14ac:dyDescent="0.3">
      <c r="XFA157" s="63">
        <v>0.161</v>
      </c>
    </row>
    <row r="158" spans="16381:16381" ht="12.75" customHeight="1" x14ac:dyDescent="0.3">
      <c r="XFA158" s="63">
        <v>0.16200000000000001</v>
      </c>
    </row>
    <row r="159" spans="16381:16381" ht="12.75" customHeight="1" x14ac:dyDescent="0.3">
      <c r="XFA159" s="63">
        <v>0.16300000000000001</v>
      </c>
    </row>
    <row r="160" spans="16381:16381" ht="12.75" customHeight="1" x14ac:dyDescent="0.3">
      <c r="XFA160" s="63">
        <v>0.16400000000000001</v>
      </c>
    </row>
    <row r="161" spans="16381:16381" ht="12.75" customHeight="1" x14ac:dyDescent="0.3">
      <c r="XFA161" s="63">
        <v>0.16500000000000001</v>
      </c>
    </row>
    <row r="162" spans="16381:16381" ht="12.75" customHeight="1" x14ac:dyDescent="0.3">
      <c r="XFA162" s="63">
        <v>0.16600000000000001</v>
      </c>
    </row>
    <row r="163" spans="16381:16381" ht="12.75" customHeight="1" x14ac:dyDescent="0.3">
      <c r="XFA163" s="63">
        <v>0.16700000000000001</v>
      </c>
    </row>
    <row r="164" spans="16381:16381" ht="12.75" customHeight="1" x14ac:dyDescent="0.3">
      <c r="XFA164" s="63">
        <v>0.16800000000000001</v>
      </c>
    </row>
    <row r="165" spans="16381:16381" ht="12.75" customHeight="1" x14ac:dyDescent="0.3">
      <c r="XFA165" s="63">
        <v>0.16900000000000001</v>
      </c>
    </row>
    <row r="166" spans="16381:16381" ht="12.75" customHeight="1" x14ac:dyDescent="0.3">
      <c r="XFA166" s="63">
        <v>0.17</v>
      </c>
    </row>
    <row r="167" spans="16381:16381" ht="12.75" customHeight="1" x14ac:dyDescent="0.3">
      <c r="XFA167" s="63">
        <v>0.17100000000000001</v>
      </c>
    </row>
    <row r="168" spans="16381:16381" ht="12.75" customHeight="1" x14ac:dyDescent="0.3">
      <c r="XFA168" s="63">
        <v>0.17199999999999999</v>
      </c>
    </row>
    <row r="169" spans="16381:16381" ht="12.75" customHeight="1" x14ac:dyDescent="0.3">
      <c r="XFA169" s="63">
        <v>0.17299999999999999</v>
      </c>
    </row>
    <row r="170" spans="16381:16381" ht="12.75" customHeight="1" x14ac:dyDescent="0.3">
      <c r="XFA170" s="63">
        <v>0.17399999999999999</v>
      </c>
    </row>
    <row r="171" spans="16381:16381" ht="12.75" customHeight="1" x14ac:dyDescent="0.3">
      <c r="XFA171" s="63">
        <v>0.17499999999999999</v>
      </c>
    </row>
    <row r="172" spans="16381:16381" ht="12.75" customHeight="1" x14ac:dyDescent="0.3">
      <c r="XFA172" s="63">
        <v>0.17599999999999999</v>
      </c>
    </row>
    <row r="173" spans="16381:16381" ht="12.75" customHeight="1" x14ac:dyDescent="0.3">
      <c r="XFA173" s="63">
        <v>0.17699999999999999</v>
      </c>
    </row>
    <row r="174" spans="16381:16381" ht="12.75" customHeight="1" x14ac:dyDescent="0.3">
      <c r="XFA174" s="63">
        <v>0.17799999999999999</v>
      </c>
    </row>
    <row r="175" spans="16381:16381" ht="12.75" customHeight="1" x14ac:dyDescent="0.3">
      <c r="XFA175" s="63">
        <v>0.17899999999999999</v>
      </c>
    </row>
    <row r="176" spans="16381:16381" ht="12.75" customHeight="1" x14ac:dyDescent="0.3">
      <c r="XFA176" s="63">
        <v>0.18</v>
      </c>
    </row>
    <row r="177" spans="16381:16381" ht="12.75" customHeight="1" x14ac:dyDescent="0.3">
      <c r="XFA177" s="63">
        <v>0.18099999999999999</v>
      </c>
    </row>
    <row r="178" spans="16381:16381" ht="12.75" customHeight="1" x14ac:dyDescent="0.3">
      <c r="XFA178" s="63">
        <v>0.182</v>
      </c>
    </row>
    <row r="179" spans="16381:16381" ht="12.75" customHeight="1" x14ac:dyDescent="0.3">
      <c r="XFA179" s="63">
        <v>0.183</v>
      </c>
    </row>
    <row r="180" spans="16381:16381" ht="12.75" customHeight="1" x14ac:dyDescent="0.3">
      <c r="XFA180" s="63">
        <v>0.184</v>
      </c>
    </row>
    <row r="181" spans="16381:16381" ht="12.75" customHeight="1" x14ac:dyDescent="0.3">
      <c r="XFA181" s="63">
        <v>0.185</v>
      </c>
    </row>
    <row r="182" spans="16381:16381" ht="12.75" customHeight="1" x14ac:dyDescent="0.3">
      <c r="XFA182" s="63">
        <v>0.186</v>
      </c>
    </row>
    <row r="183" spans="16381:16381" ht="12.75" customHeight="1" x14ac:dyDescent="0.3">
      <c r="XFA183" s="63">
        <v>0.187</v>
      </c>
    </row>
    <row r="184" spans="16381:16381" ht="12.75" customHeight="1" x14ac:dyDescent="0.3">
      <c r="XFA184" s="63">
        <v>0.188</v>
      </c>
    </row>
    <row r="185" spans="16381:16381" ht="12.75" customHeight="1" x14ac:dyDescent="0.3">
      <c r="XFA185" s="63">
        <v>0.189</v>
      </c>
    </row>
    <row r="186" spans="16381:16381" ht="12.75" customHeight="1" x14ac:dyDescent="0.3">
      <c r="XFA186" s="63">
        <v>0.19</v>
      </c>
    </row>
    <row r="187" spans="16381:16381" ht="12.75" customHeight="1" x14ac:dyDescent="0.3">
      <c r="XFA187" s="63">
        <v>0.191</v>
      </c>
    </row>
    <row r="188" spans="16381:16381" ht="12.75" customHeight="1" x14ac:dyDescent="0.3">
      <c r="XFA188" s="63">
        <v>0.192</v>
      </c>
    </row>
    <row r="189" spans="16381:16381" ht="12.75" customHeight="1" x14ac:dyDescent="0.3">
      <c r="XFA189" s="63">
        <v>0.193</v>
      </c>
    </row>
    <row r="190" spans="16381:16381" ht="12.75" customHeight="1" x14ac:dyDescent="0.3">
      <c r="XFA190" s="63">
        <v>0.19400000000000001</v>
      </c>
    </row>
    <row r="191" spans="16381:16381" ht="12.75" customHeight="1" x14ac:dyDescent="0.3">
      <c r="XFA191" s="63">
        <v>0.19500000000000001</v>
      </c>
    </row>
    <row r="192" spans="16381:16381" ht="12.75" customHeight="1" x14ac:dyDescent="0.3">
      <c r="XFA192" s="63">
        <v>0.19600000000000001</v>
      </c>
    </row>
    <row r="193" spans="16381:16381" ht="12.75" customHeight="1" x14ac:dyDescent="0.3">
      <c r="XFA193" s="63">
        <v>0.19700000000000001</v>
      </c>
    </row>
    <row r="194" spans="16381:16381" ht="12.75" customHeight="1" x14ac:dyDescent="0.3">
      <c r="XFA194" s="63">
        <v>0.19800000000000001</v>
      </c>
    </row>
    <row r="195" spans="16381:16381" ht="12.75" customHeight="1" x14ac:dyDescent="0.3">
      <c r="XFA195" s="63">
        <v>0.19900000000000001</v>
      </c>
    </row>
    <row r="196" spans="16381:16381" ht="12.75" customHeight="1" x14ac:dyDescent="0.3">
      <c r="XFA196" s="63">
        <v>0.2</v>
      </c>
    </row>
  </sheetData>
  <mergeCells count="9">
    <mergeCell ref="A29:H29"/>
    <mergeCell ref="A30:H30"/>
    <mergeCell ref="A31:H31"/>
    <mergeCell ref="A32:H32"/>
    <mergeCell ref="A4:J4"/>
    <mergeCell ref="A6:J6"/>
    <mergeCell ref="A15:R15"/>
    <mergeCell ref="A27:H27"/>
    <mergeCell ref="A28:H28"/>
  </mergeCells>
  <dataValidations count="4">
    <dataValidation type="whole" sqref="XFD1" xr:uid="{00000000-0002-0000-0100-000000000000}">
      <formula1>1</formula1>
      <formula2>500</formula2>
    </dataValidation>
    <dataValidation type="whole" sqref="XFD2" xr:uid="{00000000-0002-0000-0100-000001000000}">
      <formula1>50</formula1>
      <formula2>1000</formula2>
    </dataValidation>
    <dataValidation type="whole" sqref="XFD3" xr:uid="{00000000-0002-0000-0100-000002000000}">
      <formula1>50</formula1>
      <formula2>300</formula2>
    </dataValidation>
    <dataValidation type="whole" sqref="XFD4" xr:uid="{00000000-0002-0000-0100-000003000000}">
      <formula1>1</formula1>
      <formula2>15</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6"/>
  <sheetViews>
    <sheetView showGridLines="0" tabSelected="1" topLeftCell="A126" zoomScaleNormal="100" workbookViewId="0">
      <selection activeCell="O135" sqref="O135"/>
    </sheetView>
  </sheetViews>
  <sheetFormatPr defaultColWidth="8.6328125" defaultRowHeight="12.5" x14ac:dyDescent="0.25"/>
  <cols>
    <col min="1" max="1" width="59.81640625" customWidth="1"/>
    <col min="2" max="2" width="3" customWidth="1"/>
    <col min="3" max="4" width="5.81640625" customWidth="1"/>
    <col min="5" max="5" width="6.7265625" customWidth="1"/>
    <col min="6" max="6" width="7.90625" customWidth="1"/>
    <col min="7" max="8" width="7.6328125" customWidth="1"/>
    <col min="9" max="10" width="9" customWidth="1"/>
    <col min="11" max="12" width="9.90625" customWidth="1"/>
    <col min="13" max="13" width="3" customWidth="1"/>
    <col min="14" max="14" width="2.6328125" customWidth="1"/>
    <col min="15" max="15" width="17.6328125" customWidth="1"/>
  </cols>
  <sheetData>
    <row r="1" spans="1:15" ht="15" customHeight="1" x14ac:dyDescent="0.25">
      <c r="A1" s="16" t="s">
        <v>0</v>
      </c>
      <c r="B1" s="16"/>
      <c r="C1" s="16" t="s">
        <v>1</v>
      </c>
      <c r="D1" s="16" t="s">
        <v>2</v>
      </c>
      <c r="E1" s="16" t="s">
        <v>3</v>
      </c>
      <c r="F1" s="16" t="s">
        <v>4</v>
      </c>
      <c r="G1" s="91" t="s">
        <v>5</v>
      </c>
      <c r="H1" s="16" t="s">
        <v>6</v>
      </c>
      <c r="I1" s="16" t="s">
        <v>7</v>
      </c>
      <c r="J1" s="16" t="s">
        <v>8</v>
      </c>
      <c r="K1" s="16" t="s">
        <v>9</v>
      </c>
      <c r="L1" s="16" t="s">
        <v>10</v>
      </c>
      <c r="M1" s="38"/>
      <c r="N1" s="38"/>
      <c r="O1" s="38"/>
    </row>
    <row r="2" spans="1:15" ht="15" customHeight="1" x14ac:dyDescent="0.25">
      <c r="A2" s="24" t="s">
        <v>11</v>
      </c>
      <c r="B2" s="24"/>
      <c r="C2" s="92" t="s">
        <v>12</v>
      </c>
      <c r="D2" s="92" t="s">
        <v>12</v>
      </c>
      <c r="E2" s="92" t="s">
        <v>12</v>
      </c>
      <c r="F2" s="92" t="s">
        <v>12</v>
      </c>
      <c r="G2" s="93" t="s">
        <v>14</v>
      </c>
      <c r="H2" s="94" t="s">
        <v>14</v>
      </c>
      <c r="I2" s="94" t="s">
        <v>14</v>
      </c>
      <c r="J2" s="94" t="s">
        <v>14</v>
      </c>
      <c r="K2" s="94" t="s">
        <v>14</v>
      </c>
      <c r="L2" s="94" t="s">
        <v>14</v>
      </c>
      <c r="M2" s="38"/>
      <c r="N2" s="38"/>
      <c r="O2" s="38"/>
    </row>
    <row r="3" spans="1:15" ht="15" customHeight="1" x14ac:dyDescent="0.25">
      <c r="A3" s="24" t="s">
        <v>15</v>
      </c>
      <c r="B3" s="24"/>
      <c r="C3" s="25">
        <v>12</v>
      </c>
      <c r="D3" s="25">
        <v>12</v>
      </c>
      <c r="E3" s="25">
        <v>12</v>
      </c>
      <c r="F3" s="25">
        <v>8</v>
      </c>
      <c r="G3" s="26">
        <v>4</v>
      </c>
      <c r="H3" s="27">
        <v>12</v>
      </c>
      <c r="I3" s="27">
        <v>12</v>
      </c>
      <c r="J3" s="27">
        <v>12</v>
      </c>
      <c r="K3" s="27">
        <v>12</v>
      </c>
      <c r="L3" s="27">
        <v>12</v>
      </c>
      <c r="M3" s="38"/>
      <c r="N3" s="38"/>
      <c r="O3" s="38"/>
    </row>
    <row r="4" spans="1:15" ht="14.5" x14ac:dyDescent="0.25">
      <c r="A4" s="38"/>
      <c r="B4" s="38"/>
      <c r="C4" s="38"/>
      <c r="D4" s="38"/>
      <c r="E4" s="38"/>
      <c r="F4" s="38"/>
      <c r="G4" s="59"/>
      <c r="H4" s="38"/>
      <c r="I4" s="38"/>
      <c r="J4" s="38"/>
      <c r="K4" s="38"/>
      <c r="L4" s="38"/>
      <c r="M4" s="38"/>
      <c r="N4" s="38"/>
      <c r="O4" s="38"/>
    </row>
    <row r="5" spans="1:15" ht="18" customHeight="1" x14ac:dyDescent="0.25">
      <c r="A5" s="13" t="s">
        <v>83</v>
      </c>
      <c r="B5" s="13"/>
      <c r="C5" s="13"/>
      <c r="D5" s="13"/>
      <c r="E5" s="13"/>
      <c r="F5" s="13"/>
      <c r="G5" s="13"/>
      <c r="H5" s="13"/>
      <c r="I5" s="13"/>
      <c r="J5" s="13"/>
      <c r="K5" s="13"/>
      <c r="L5" s="13"/>
      <c r="M5" s="95"/>
      <c r="N5" s="95"/>
      <c r="O5" s="95"/>
    </row>
    <row r="6" spans="1:15" ht="14.5" x14ac:dyDescent="0.25">
      <c r="A6" s="38"/>
      <c r="B6" s="38"/>
      <c r="C6" s="38"/>
      <c r="D6" s="38"/>
      <c r="E6" s="38"/>
      <c r="F6" s="38"/>
      <c r="G6" s="59"/>
      <c r="H6" s="38"/>
      <c r="I6" s="38"/>
      <c r="J6" s="38"/>
      <c r="K6" s="38"/>
      <c r="L6" s="38"/>
      <c r="M6" s="38"/>
      <c r="N6" s="38"/>
      <c r="O6" s="38"/>
    </row>
    <row r="7" spans="1:15" ht="18" customHeight="1" x14ac:dyDescent="0.25">
      <c r="A7" s="10" t="s">
        <v>84</v>
      </c>
      <c r="B7" s="10"/>
      <c r="C7" s="10"/>
      <c r="D7" s="10"/>
      <c r="E7" s="10"/>
      <c r="F7" s="10"/>
      <c r="G7" s="10"/>
      <c r="H7" s="10"/>
      <c r="I7" s="10"/>
      <c r="J7" s="10"/>
      <c r="K7" s="10"/>
      <c r="L7" s="10"/>
      <c r="M7" s="95"/>
      <c r="N7" s="95"/>
      <c r="O7" s="95"/>
    </row>
    <row r="8" spans="1:15" ht="15" customHeight="1" x14ac:dyDescent="0.25">
      <c r="A8" s="17" t="s">
        <v>85</v>
      </c>
      <c r="B8" s="16"/>
      <c r="C8" s="16" t="s">
        <v>1</v>
      </c>
      <c r="D8" s="16" t="s">
        <v>2</v>
      </c>
      <c r="E8" s="16" t="s">
        <v>3</v>
      </c>
      <c r="F8" s="16" t="s">
        <v>4</v>
      </c>
      <c r="G8" s="91" t="s">
        <v>5</v>
      </c>
      <c r="H8" s="16" t="s">
        <v>6</v>
      </c>
      <c r="I8" s="16" t="s">
        <v>7</v>
      </c>
      <c r="J8" s="16" t="s">
        <v>8</v>
      </c>
      <c r="K8" s="16" t="s">
        <v>9</v>
      </c>
      <c r="L8" s="16" t="s">
        <v>10</v>
      </c>
      <c r="M8" s="38"/>
      <c r="N8" s="38"/>
      <c r="O8" s="38"/>
    </row>
    <row r="9" spans="1:15" ht="15" customHeight="1" x14ac:dyDescent="0.25">
      <c r="A9" s="96" t="s">
        <v>86</v>
      </c>
      <c r="B9" s="97"/>
      <c r="C9" s="38"/>
      <c r="D9" s="38"/>
      <c r="E9" s="38"/>
      <c r="F9" s="38"/>
      <c r="G9" s="98">
        <f t="shared" ref="G9:L10" si="0">G135</f>
        <v>370</v>
      </c>
      <c r="H9" s="99">
        <f t="shared" si="0"/>
        <v>32038.5</v>
      </c>
      <c r="I9" s="99">
        <f t="shared" si="0"/>
        <v>139036.94999999998</v>
      </c>
      <c r="J9" s="99">
        <f t="shared" si="0"/>
        <v>411795.18937499996</v>
      </c>
      <c r="K9" s="99">
        <f t="shared" si="0"/>
        <v>1013255.2667995779</v>
      </c>
      <c r="L9" s="99">
        <f t="shared" si="0"/>
        <v>2194647.2027604091</v>
      </c>
      <c r="M9" s="38"/>
      <c r="N9" s="38"/>
      <c r="O9" s="38"/>
    </row>
    <row r="10" spans="1:15" ht="15" customHeight="1" x14ac:dyDescent="0.25">
      <c r="A10" s="96" t="s">
        <v>87</v>
      </c>
      <c r="B10" s="97"/>
      <c r="C10" s="38"/>
      <c r="D10" s="38"/>
      <c r="E10" s="38"/>
      <c r="F10" s="38"/>
      <c r="G10" s="98">
        <f t="shared" si="0"/>
        <v>667.625</v>
      </c>
      <c r="H10" s="99">
        <f t="shared" si="0"/>
        <v>22664.906250000004</v>
      </c>
      <c r="I10" s="99">
        <f t="shared" si="0"/>
        <v>90439.37437499997</v>
      </c>
      <c r="J10" s="99">
        <f t="shared" si="0"/>
        <v>261469.74718593754</v>
      </c>
      <c r="K10" s="99">
        <f t="shared" si="0"/>
        <v>637025.20626692509</v>
      </c>
      <c r="L10" s="99">
        <f t="shared" si="0"/>
        <v>1372113.6696680239</v>
      </c>
      <c r="M10" s="38"/>
      <c r="N10" s="38"/>
      <c r="O10" s="38"/>
    </row>
    <row r="11" spans="1:15" ht="15" customHeight="1" x14ac:dyDescent="0.25">
      <c r="A11" s="100" t="s">
        <v>88</v>
      </c>
      <c r="B11" s="100"/>
      <c r="C11" s="101">
        <v>304</v>
      </c>
      <c r="D11" s="101">
        <v>84.79</v>
      </c>
      <c r="E11" s="101">
        <v>898.42</v>
      </c>
      <c r="F11" s="101">
        <v>512.15</v>
      </c>
      <c r="G11" s="102">
        <f t="shared" ref="G11:L11" si="1">SUM(G9:G10)</f>
        <v>1037.625</v>
      </c>
      <c r="H11" s="103">
        <f t="shared" si="1"/>
        <v>54703.40625</v>
      </c>
      <c r="I11" s="103">
        <f t="shared" si="1"/>
        <v>229476.32437499997</v>
      </c>
      <c r="J11" s="103">
        <f t="shared" si="1"/>
        <v>673264.93656093744</v>
      </c>
      <c r="K11" s="103">
        <f t="shared" si="1"/>
        <v>1650280.4730665029</v>
      </c>
      <c r="L11" s="103">
        <f t="shared" si="1"/>
        <v>3566760.872428433</v>
      </c>
      <c r="M11" s="38"/>
      <c r="N11" s="38"/>
      <c r="O11" s="38"/>
    </row>
    <row r="12" spans="1:15" ht="15" customHeight="1" x14ac:dyDescent="0.25">
      <c r="A12" s="38"/>
      <c r="B12" s="38"/>
      <c r="C12" s="38"/>
      <c r="D12" s="38"/>
      <c r="E12" s="38"/>
      <c r="F12" s="38"/>
      <c r="G12" s="59"/>
      <c r="H12" s="38"/>
      <c r="I12" s="38"/>
      <c r="J12" s="38"/>
      <c r="K12" s="38"/>
      <c r="L12" s="38"/>
      <c r="M12" s="38"/>
      <c r="N12" s="38"/>
      <c r="O12" s="38"/>
    </row>
    <row r="13" spans="1:15" ht="18" customHeight="1" x14ac:dyDescent="0.25">
      <c r="A13" s="8" t="s">
        <v>89</v>
      </c>
      <c r="B13" s="8"/>
      <c r="C13" s="8"/>
      <c r="D13" s="8"/>
      <c r="E13" s="8"/>
      <c r="F13" s="8"/>
      <c r="G13" s="8"/>
      <c r="H13" s="8"/>
      <c r="I13" s="8"/>
      <c r="J13" s="8"/>
      <c r="K13" s="8"/>
      <c r="L13" s="8"/>
      <c r="M13" s="95"/>
      <c r="N13" s="95"/>
      <c r="O13" s="95"/>
    </row>
    <row r="14" spans="1:15" ht="18" customHeight="1" x14ac:dyDescent="0.25">
      <c r="A14" s="8" t="s">
        <v>90</v>
      </c>
      <c r="B14" s="8"/>
      <c r="C14" s="8"/>
      <c r="D14" s="8"/>
      <c r="E14" s="8"/>
      <c r="F14" s="8"/>
      <c r="G14" s="8"/>
      <c r="H14" s="8"/>
      <c r="I14" s="8"/>
      <c r="J14" s="8"/>
      <c r="K14" s="8"/>
      <c r="L14" s="8"/>
      <c r="M14" s="95"/>
      <c r="N14" s="95"/>
      <c r="O14" s="95"/>
    </row>
    <row r="15" spans="1:15" ht="15" customHeight="1" x14ac:dyDescent="0.25">
      <c r="A15" s="96" t="s">
        <v>91</v>
      </c>
      <c r="B15" s="96"/>
      <c r="C15" s="104">
        <f>Expenses_Y!C30</f>
        <v>0</v>
      </c>
      <c r="D15" s="104">
        <f>Expenses_Y!D30</f>
        <v>0</v>
      </c>
      <c r="E15" s="104">
        <f>Expenses_Y!E30</f>
        <v>0</v>
      </c>
      <c r="F15" s="104">
        <f>Expenses_Y!F30</f>
        <v>0</v>
      </c>
      <c r="G15" s="105">
        <f>Expenses_Y!G30</f>
        <v>10</v>
      </c>
      <c r="H15" s="106">
        <f>Expenses_Y!H30</f>
        <v>11</v>
      </c>
      <c r="I15" s="106">
        <f>Expenses_Y!I30</f>
        <v>12.100000000000001</v>
      </c>
      <c r="J15" s="106">
        <f>Expenses_Y!J30</f>
        <v>13.310000000000002</v>
      </c>
      <c r="K15" s="106">
        <f>Expenses_Y!K30</f>
        <v>14.641000000000004</v>
      </c>
      <c r="L15" s="106">
        <f>Expenses_Y!L30</f>
        <v>16.105100000000004</v>
      </c>
      <c r="M15" s="38"/>
      <c r="N15" s="38"/>
      <c r="O15" s="38"/>
    </row>
    <row r="16" spans="1:15" ht="15" customHeight="1" x14ac:dyDescent="0.25">
      <c r="A16" s="96" t="s">
        <v>92</v>
      </c>
      <c r="B16" s="96"/>
      <c r="C16" s="107">
        <f>Expenses_Y!C31</f>
        <v>0</v>
      </c>
      <c r="D16" s="107">
        <f>Expenses_Y!D31</f>
        <v>0</v>
      </c>
      <c r="E16" s="107">
        <f>Expenses_Y!E31</f>
        <v>0</v>
      </c>
      <c r="F16" s="107">
        <f>Expenses_Y!F31</f>
        <v>0</v>
      </c>
      <c r="G16" s="108">
        <f>Expenses_Y!G31</f>
        <v>0</v>
      </c>
      <c r="H16" s="109">
        <f>Expenses_Y!H31</f>
        <v>0.1</v>
      </c>
      <c r="I16" s="109">
        <f>Expenses_Y!I31</f>
        <v>0.1</v>
      </c>
      <c r="J16" s="109">
        <f>Expenses_Y!J31</f>
        <v>0.1</v>
      </c>
      <c r="K16" s="109">
        <f>Expenses_Y!K31</f>
        <v>0.1</v>
      </c>
      <c r="L16" s="109">
        <f>Expenses_Y!L31</f>
        <v>0.1</v>
      </c>
      <c r="M16" s="38"/>
      <c r="N16" s="38"/>
      <c r="O16" s="38"/>
    </row>
    <row r="17" spans="1:15" ht="15" customHeight="1" x14ac:dyDescent="0.25">
      <c r="A17" s="96" t="s">
        <v>93</v>
      </c>
      <c r="B17" s="96"/>
      <c r="C17" s="110">
        <f>Expenses_Y!C32</f>
        <v>0</v>
      </c>
      <c r="D17" s="110">
        <f>Expenses_Y!D32</f>
        <v>0</v>
      </c>
      <c r="E17" s="110">
        <f>Expenses_Y!E32</f>
        <v>0</v>
      </c>
      <c r="F17" s="110">
        <f>Expenses_Y!F32</f>
        <v>0</v>
      </c>
      <c r="G17" s="111">
        <f>Expenses_Y!G32</f>
        <v>10000</v>
      </c>
      <c r="H17" s="112">
        <f>Expenses_Y!H32</f>
        <v>10000</v>
      </c>
      <c r="I17" s="112">
        <f>Expenses_Y!I32</f>
        <v>10000</v>
      </c>
      <c r="J17" s="112">
        <f>Expenses_Y!J32</f>
        <v>10000</v>
      </c>
      <c r="K17" s="112">
        <f>Expenses_Y!K32</f>
        <v>10000</v>
      </c>
      <c r="L17" s="112">
        <f>Expenses_Y!L32</f>
        <v>10000</v>
      </c>
      <c r="M17" s="38"/>
      <c r="N17" s="38"/>
      <c r="O17" s="38"/>
    </row>
    <row r="18" spans="1:15" ht="15" customHeight="1" x14ac:dyDescent="0.25">
      <c r="A18" s="96" t="s">
        <v>94</v>
      </c>
      <c r="B18" s="96"/>
      <c r="C18" s="38"/>
      <c r="D18" s="38"/>
      <c r="E18" s="38"/>
      <c r="F18" s="38"/>
      <c r="G18" s="113">
        <v>10</v>
      </c>
      <c r="H18" s="114">
        <v>10</v>
      </c>
      <c r="I18" s="114">
        <v>10</v>
      </c>
      <c r="J18" s="114">
        <v>10</v>
      </c>
      <c r="K18" s="114">
        <v>10</v>
      </c>
      <c r="L18" s="114">
        <v>10</v>
      </c>
      <c r="M18" s="38"/>
      <c r="N18" s="38"/>
      <c r="O18" s="38"/>
    </row>
    <row r="19" spans="1:15" ht="15" customHeight="1" x14ac:dyDescent="0.25">
      <c r="A19" s="96" t="s">
        <v>95</v>
      </c>
      <c r="B19" s="96"/>
      <c r="C19" s="38"/>
      <c r="D19" s="38"/>
      <c r="E19" s="38"/>
      <c r="F19" s="38"/>
      <c r="G19" s="115">
        <v>1E-3</v>
      </c>
      <c r="H19" s="116">
        <v>1E-3</v>
      </c>
      <c r="I19" s="116">
        <v>1E-3</v>
      </c>
      <c r="J19" s="116">
        <v>1E-3</v>
      </c>
      <c r="K19" s="116">
        <v>1E-3</v>
      </c>
      <c r="L19" s="116">
        <v>1E-3</v>
      </c>
      <c r="M19" s="38"/>
      <c r="N19" s="38"/>
      <c r="O19" s="38"/>
    </row>
    <row r="20" spans="1:15" ht="15" customHeight="1" x14ac:dyDescent="0.25">
      <c r="A20" s="96" t="s">
        <v>96</v>
      </c>
      <c r="B20" s="96"/>
      <c r="C20" s="38"/>
      <c r="D20" s="38"/>
      <c r="E20" s="38"/>
      <c r="F20" s="38"/>
      <c r="G20" s="117">
        <f t="shared" ref="G20:L20" si="2">SUM(G18,G17*G19)</f>
        <v>20</v>
      </c>
      <c r="H20" s="118">
        <f t="shared" si="2"/>
        <v>20</v>
      </c>
      <c r="I20" s="118">
        <f t="shared" si="2"/>
        <v>20</v>
      </c>
      <c r="J20" s="118">
        <f t="shared" si="2"/>
        <v>20</v>
      </c>
      <c r="K20" s="118">
        <f t="shared" si="2"/>
        <v>20</v>
      </c>
      <c r="L20" s="118">
        <f t="shared" si="2"/>
        <v>20</v>
      </c>
      <c r="M20" s="38"/>
      <c r="N20" s="38"/>
      <c r="O20" s="38"/>
    </row>
    <row r="21" spans="1:15" ht="15" customHeight="1" x14ac:dyDescent="0.25">
      <c r="A21" s="96" t="s">
        <v>97</v>
      </c>
      <c r="B21" s="96"/>
      <c r="C21" s="38"/>
      <c r="D21" s="38"/>
      <c r="E21" s="38"/>
      <c r="F21" s="38"/>
      <c r="G21" s="119">
        <f t="shared" ref="G21:L21" si="3">G15*G20*G$3</f>
        <v>800</v>
      </c>
      <c r="H21" s="104">
        <f t="shared" si="3"/>
        <v>2640</v>
      </c>
      <c r="I21" s="104">
        <f t="shared" si="3"/>
        <v>2904.0000000000005</v>
      </c>
      <c r="J21" s="104">
        <f t="shared" si="3"/>
        <v>3194.4000000000005</v>
      </c>
      <c r="K21" s="104">
        <f t="shared" si="3"/>
        <v>3513.8400000000006</v>
      </c>
      <c r="L21" s="104">
        <f t="shared" si="3"/>
        <v>3865.2240000000011</v>
      </c>
      <c r="M21" s="38"/>
      <c r="N21" s="38"/>
      <c r="O21" s="38"/>
    </row>
    <row r="22" spans="1:15" ht="15" customHeight="1" x14ac:dyDescent="0.25">
      <c r="A22" s="96" t="s">
        <v>98</v>
      </c>
      <c r="B22" s="96"/>
      <c r="C22" s="110">
        <f>Expenses_Y!C46</f>
        <v>0</v>
      </c>
      <c r="D22" s="110">
        <f>Expenses_Y!D46</f>
        <v>0</v>
      </c>
      <c r="E22" s="110">
        <f>Expenses_Y!E46</f>
        <v>0</v>
      </c>
      <c r="F22" s="110">
        <f>Expenses_Y!F46</f>
        <v>0</v>
      </c>
      <c r="G22" s="111">
        <f>Expenses_Y!G46</f>
        <v>5000</v>
      </c>
      <c r="H22" s="112">
        <f>Expenses_Y!H46</f>
        <v>0</v>
      </c>
      <c r="I22" s="112">
        <f>Expenses_Y!I46</f>
        <v>0</v>
      </c>
      <c r="J22" s="112">
        <f>Expenses_Y!J46</f>
        <v>0</v>
      </c>
      <c r="K22" s="112">
        <f>Expenses_Y!K46</f>
        <v>0</v>
      </c>
      <c r="L22" s="112">
        <f>Expenses_Y!L46</f>
        <v>0</v>
      </c>
      <c r="M22" s="38"/>
      <c r="N22" s="38"/>
      <c r="O22" s="38"/>
    </row>
    <row r="23" spans="1:15" ht="15" customHeight="1" x14ac:dyDescent="0.25">
      <c r="A23" s="96" t="s">
        <v>99</v>
      </c>
      <c r="B23" s="96"/>
      <c r="C23" s="38"/>
      <c r="D23" s="38"/>
      <c r="E23" s="38"/>
      <c r="F23" s="38"/>
      <c r="G23" s="120">
        <v>1000</v>
      </c>
      <c r="H23" s="121">
        <v>1000</v>
      </c>
      <c r="I23" s="121">
        <v>1000</v>
      </c>
      <c r="J23" s="121">
        <v>1000</v>
      </c>
      <c r="K23" s="121">
        <v>1000</v>
      </c>
      <c r="L23" s="121">
        <v>1000</v>
      </c>
      <c r="M23" s="38"/>
      <c r="N23" s="38"/>
      <c r="O23" s="38"/>
    </row>
    <row r="24" spans="1:15" ht="15" customHeight="1" x14ac:dyDescent="0.25">
      <c r="A24" s="96" t="s">
        <v>100</v>
      </c>
      <c r="B24" s="96"/>
      <c r="C24" s="38"/>
      <c r="D24" s="38"/>
      <c r="E24" s="38"/>
      <c r="F24" s="38"/>
      <c r="G24" s="115">
        <v>0.01</v>
      </c>
      <c r="H24" s="116">
        <v>0.01</v>
      </c>
      <c r="I24" s="116">
        <v>0.01</v>
      </c>
      <c r="J24" s="116">
        <v>0.01</v>
      </c>
      <c r="K24" s="116">
        <v>0.01</v>
      </c>
      <c r="L24" s="116">
        <v>0.01</v>
      </c>
      <c r="M24" s="38"/>
      <c r="N24" s="38"/>
      <c r="O24" s="38"/>
    </row>
    <row r="25" spans="1:15" ht="15" customHeight="1" x14ac:dyDescent="0.25">
      <c r="A25" s="96" t="s">
        <v>101</v>
      </c>
      <c r="B25" s="96"/>
      <c r="C25" s="38"/>
      <c r="D25" s="38"/>
      <c r="E25" s="38"/>
      <c r="F25" s="38"/>
      <c r="G25" s="122">
        <f t="shared" ref="G25:L25" si="4">SUM(G23,G22*G24)</f>
        <v>1050</v>
      </c>
      <c r="H25" s="123">
        <f t="shared" si="4"/>
        <v>1000</v>
      </c>
      <c r="I25" s="123">
        <f t="shared" si="4"/>
        <v>1000</v>
      </c>
      <c r="J25" s="123">
        <f t="shared" si="4"/>
        <v>1000</v>
      </c>
      <c r="K25" s="123">
        <f t="shared" si="4"/>
        <v>1000</v>
      </c>
      <c r="L25" s="123">
        <f t="shared" si="4"/>
        <v>1000</v>
      </c>
      <c r="M25" s="38"/>
      <c r="N25" s="38"/>
      <c r="O25" s="38"/>
    </row>
    <row r="26" spans="1:15" ht="15" customHeight="1" x14ac:dyDescent="0.25">
      <c r="A26" s="124" t="s">
        <v>102</v>
      </c>
      <c r="B26" s="124"/>
      <c r="C26" s="125"/>
      <c r="D26" s="125"/>
      <c r="E26" s="125"/>
      <c r="F26" s="125"/>
      <c r="G26" s="126">
        <f t="shared" ref="G26:L26" si="5">SUM(G21,G25)</f>
        <v>1850</v>
      </c>
      <c r="H26" s="127">
        <f t="shared" si="5"/>
        <v>3640</v>
      </c>
      <c r="I26" s="127">
        <f t="shared" si="5"/>
        <v>3904.0000000000005</v>
      </c>
      <c r="J26" s="127">
        <f t="shared" si="5"/>
        <v>4194.4000000000005</v>
      </c>
      <c r="K26" s="127">
        <f t="shared" si="5"/>
        <v>4513.84</v>
      </c>
      <c r="L26" s="127">
        <f t="shared" si="5"/>
        <v>4865.2240000000011</v>
      </c>
      <c r="M26" s="38"/>
      <c r="N26" s="38"/>
      <c r="O26" s="38"/>
    </row>
    <row r="27" spans="1:15" ht="14.5" x14ac:dyDescent="0.25">
      <c r="A27" s="38"/>
      <c r="B27" s="38"/>
      <c r="C27" s="38"/>
      <c r="D27" s="38"/>
      <c r="E27" s="38"/>
      <c r="F27" s="38"/>
      <c r="G27" s="59"/>
      <c r="H27" s="38"/>
      <c r="I27" s="38"/>
      <c r="J27" s="38"/>
      <c r="K27" s="38"/>
      <c r="L27" s="38"/>
      <c r="M27" s="38"/>
      <c r="N27" s="38"/>
      <c r="O27" s="38"/>
    </row>
    <row r="28" spans="1:15" ht="18" customHeight="1" x14ac:dyDescent="0.25">
      <c r="A28" s="8" t="s">
        <v>103</v>
      </c>
      <c r="B28" s="8"/>
      <c r="C28" s="8"/>
      <c r="D28" s="8"/>
      <c r="E28" s="8"/>
      <c r="F28" s="8"/>
      <c r="G28" s="8"/>
      <c r="H28" s="8"/>
      <c r="I28" s="8"/>
      <c r="J28" s="8"/>
      <c r="K28" s="8"/>
      <c r="L28" s="8"/>
      <c r="M28" s="95"/>
      <c r="N28" s="95"/>
      <c r="O28" s="95"/>
    </row>
    <row r="29" spans="1:15" ht="15" customHeight="1" x14ac:dyDescent="0.25">
      <c r="A29" s="96" t="s">
        <v>104</v>
      </c>
      <c r="B29" s="96"/>
      <c r="C29" s="38"/>
      <c r="D29" s="38"/>
      <c r="E29" s="38"/>
      <c r="F29" s="38"/>
      <c r="G29" s="128">
        <v>0.1</v>
      </c>
      <c r="H29" s="109">
        <f>G29</f>
        <v>0.1</v>
      </c>
      <c r="I29" s="109">
        <f>H29</f>
        <v>0.1</v>
      </c>
      <c r="J29" s="109">
        <f>I29</f>
        <v>0.1</v>
      </c>
      <c r="K29" s="109">
        <f>J29</f>
        <v>0.1</v>
      </c>
      <c r="L29" s="109">
        <f>K29</f>
        <v>0.1</v>
      </c>
      <c r="M29" s="38"/>
      <c r="N29" s="38"/>
      <c r="O29" s="38"/>
    </row>
    <row r="30" spans="1:15" ht="15" customHeight="1" x14ac:dyDescent="0.25">
      <c r="A30" s="96" t="s">
        <v>105</v>
      </c>
      <c r="B30" s="96"/>
      <c r="C30" s="110">
        <f>Expenses_Y!C19</f>
        <v>0</v>
      </c>
      <c r="D30" s="110">
        <f>Expenses_Y!D19</f>
        <v>0</v>
      </c>
      <c r="E30" s="110">
        <f>Expenses_Y!E19</f>
        <v>0</v>
      </c>
      <c r="F30" s="110">
        <f>Expenses_Y!F19</f>
        <v>0</v>
      </c>
      <c r="G30" s="111">
        <f>Expenses_Y!G19</f>
        <v>0</v>
      </c>
      <c r="H30" s="112">
        <f>Expenses_Y!H19</f>
        <v>100000</v>
      </c>
      <c r="I30" s="112">
        <f>Expenses_Y!I19</f>
        <v>100000</v>
      </c>
      <c r="J30" s="112">
        <f>Expenses_Y!J19</f>
        <v>100000</v>
      </c>
      <c r="K30" s="112">
        <f>Expenses_Y!K19</f>
        <v>100000</v>
      </c>
      <c r="L30" s="112">
        <f>Expenses_Y!L19</f>
        <v>100000</v>
      </c>
      <c r="M30" s="38"/>
      <c r="N30" s="38"/>
      <c r="O30" s="38"/>
    </row>
    <row r="31" spans="1:15" ht="15" customHeight="1" x14ac:dyDescent="0.25">
      <c r="A31" s="96" t="s">
        <v>106</v>
      </c>
      <c r="B31" s="96"/>
      <c r="C31" s="38"/>
      <c r="D31" s="38"/>
      <c r="E31" s="38"/>
      <c r="F31" s="38"/>
      <c r="G31" s="128">
        <v>0</v>
      </c>
      <c r="H31" s="129">
        <v>0</v>
      </c>
      <c r="I31" s="129">
        <v>0</v>
      </c>
      <c r="J31" s="129">
        <v>0</v>
      </c>
      <c r="K31" s="129">
        <v>0</v>
      </c>
      <c r="L31" s="129">
        <v>0</v>
      </c>
      <c r="M31" s="38"/>
      <c r="N31" s="38"/>
      <c r="O31" s="38"/>
    </row>
    <row r="32" spans="1:15" ht="15" customHeight="1" x14ac:dyDescent="0.25">
      <c r="A32" s="96" t="s">
        <v>107</v>
      </c>
      <c r="B32" s="96"/>
      <c r="C32" s="38"/>
      <c r="D32" s="38"/>
      <c r="E32" s="38"/>
      <c r="F32" s="38"/>
      <c r="G32" s="98">
        <f t="shared" ref="G32:L32" si="6">G30*G31</f>
        <v>0</v>
      </c>
      <c r="H32" s="99">
        <f t="shared" si="6"/>
        <v>0</v>
      </c>
      <c r="I32" s="99">
        <f t="shared" si="6"/>
        <v>0</v>
      </c>
      <c r="J32" s="99">
        <f t="shared" si="6"/>
        <v>0</v>
      </c>
      <c r="K32" s="99">
        <f t="shared" si="6"/>
        <v>0</v>
      </c>
      <c r="L32" s="99">
        <f t="shared" si="6"/>
        <v>0</v>
      </c>
      <c r="M32" s="38"/>
      <c r="N32" s="38"/>
      <c r="O32" s="38"/>
    </row>
    <row r="33" spans="1:15" ht="15" customHeight="1" x14ac:dyDescent="0.25">
      <c r="A33" s="96" t="s">
        <v>108</v>
      </c>
      <c r="B33" s="96"/>
      <c r="C33" s="38"/>
      <c r="D33" s="38"/>
      <c r="E33" s="38"/>
      <c r="F33" s="38"/>
      <c r="G33" s="128">
        <v>0.2</v>
      </c>
      <c r="H33" s="129">
        <v>0.2</v>
      </c>
      <c r="I33" s="129">
        <v>0.2</v>
      </c>
      <c r="J33" s="129">
        <v>0.2</v>
      </c>
      <c r="K33" s="129">
        <v>0.2</v>
      </c>
      <c r="L33" s="129">
        <v>0.2</v>
      </c>
      <c r="M33" s="38"/>
      <c r="N33" s="38"/>
      <c r="O33" s="38"/>
    </row>
    <row r="34" spans="1:15" ht="15" customHeight="1" x14ac:dyDescent="0.25">
      <c r="A34" s="96" t="s">
        <v>109</v>
      </c>
      <c r="B34" s="96"/>
      <c r="C34" s="38"/>
      <c r="D34" s="38"/>
      <c r="E34" s="38"/>
      <c r="F34" s="38"/>
      <c r="G34" s="130">
        <v>10000</v>
      </c>
      <c r="H34" s="131">
        <v>10000</v>
      </c>
      <c r="I34" s="131">
        <v>10000</v>
      </c>
      <c r="J34" s="131">
        <v>10000</v>
      </c>
      <c r="K34" s="131">
        <v>10000</v>
      </c>
      <c r="L34" s="131">
        <v>10000</v>
      </c>
      <c r="M34" s="38"/>
      <c r="N34" s="38"/>
      <c r="O34" s="38"/>
    </row>
    <row r="35" spans="1:15" ht="15" customHeight="1" x14ac:dyDescent="0.25">
      <c r="A35" s="96" t="s">
        <v>110</v>
      </c>
      <c r="B35" s="96"/>
      <c r="C35" s="38"/>
      <c r="D35" s="38"/>
      <c r="E35" s="38"/>
      <c r="F35" s="38"/>
      <c r="G35" s="58">
        <f t="shared" ref="G35:L35" si="7">IF(OR(G32="",G34="",G32+G34=0),"",G33*G32/(G32+G34))</f>
        <v>0</v>
      </c>
      <c r="H35" s="56">
        <f t="shared" si="7"/>
        <v>0</v>
      </c>
      <c r="I35" s="56">
        <f t="shared" si="7"/>
        <v>0</v>
      </c>
      <c r="J35" s="56">
        <f t="shared" si="7"/>
        <v>0</v>
      </c>
      <c r="K35" s="56">
        <f t="shared" si="7"/>
        <v>0</v>
      </c>
      <c r="L35" s="56">
        <f t="shared" si="7"/>
        <v>0</v>
      </c>
      <c r="M35" s="38"/>
      <c r="N35" s="38"/>
      <c r="O35" s="38"/>
    </row>
    <row r="36" spans="1:15" ht="15" customHeight="1" x14ac:dyDescent="0.25">
      <c r="A36" s="96" t="s">
        <v>111</v>
      </c>
      <c r="B36" s="96"/>
      <c r="C36" s="107">
        <f>Expenses_Y!C25+Expenses_Y!C22</f>
        <v>0</v>
      </c>
      <c r="D36" s="107">
        <f>Expenses_Y!D25+Expenses_Y!D22</f>
        <v>0</v>
      </c>
      <c r="E36" s="107">
        <f>Expenses_Y!E25+Expenses_Y!E22</f>
        <v>0</v>
      </c>
      <c r="F36" s="107">
        <f>Expenses_Y!F25+Expenses_Y!F22</f>
        <v>0</v>
      </c>
      <c r="G36" s="111">
        <f>Expenses_Y!G25+Expenses_Y!G22</f>
        <v>0</v>
      </c>
      <c r="H36" s="112">
        <f>Expenses_Y!H25+Expenses_Y!H22</f>
        <v>0</v>
      </c>
      <c r="I36" s="112">
        <f>Expenses_Y!I25+Expenses_Y!I22</f>
        <v>75000</v>
      </c>
      <c r="J36" s="112">
        <f>Expenses_Y!J25+Expenses_Y!J22</f>
        <v>225000</v>
      </c>
      <c r="K36" s="112">
        <f>Expenses_Y!K25+Expenses_Y!K22</f>
        <v>225000</v>
      </c>
      <c r="L36" s="112">
        <f>Expenses_Y!L25+Expenses_Y!L22</f>
        <v>225000</v>
      </c>
      <c r="M36" s="38"/>
      <c r="N36" s="38"/>
      <c r="O36" s="38"/>
    </row>
    <row r="37" spans="1:15" ht="15" customHeight="1" x14ac:dyDescent="0.25">
      <c r="A37" s="96" t="s">
        <v>112</v>
      </c>
      <c r="B37" s="96"/>
      <c r="C37" s="38"/>
      <c r="D37" s="38"/>
      <c r="E37" s="38"/>
      <c r="F37" s="38"/>
      <c r="G37" s="128">
        <v>0</v>
      </c>
      <c r="H37" s="129">
        <v>0</v>
      </c>
      <c r="I37" s="129">
        <v>0</v>
      </c>
      <c r="J37" s="129">
        <v>0</v>
      </c>
      <c r="K37" s="129">
        <v>0</v>
      </c>
      <c r="L37" s="129">
        <v>0</v>
      </c>
      <c r="M37" s="38"/>
      <c r="N37" s="38"/>
      <c r="O37" s="38"/>
    </row>
    <row r="38" spans="1:15" ht="15" customHeight="1" x14ac:dyDescent="0.25">
      <c r="A38" s="96" t="s">
        <v>113</v>
      </c>
      <c r="B38" s="96"/>
      <c r="C38" s="38"/>
      <c r="D38" s="38"/>
      <c r="E38" s="38"/>
      <c r="F38" s="38"/>
      <c r="G38" s="98">
        <f t="shared" ref="G38:L38" si="8">G36*G37</f>
        <v>0</v>
      </c>
      <c r="H38" s="99">
        <f t="shared" si="8"/>
        <v>0</v>
      </c>
      <c r="I38" s="99">
        <f t="shared" si="8"/>
        <v>0</v>
      </c>
      <c r="J38" s="99">
        <f t="shared" si="8"/>
        <v>0</v>
      </c>
      <c r="K38" s="99">
        <f t="shared" si="8"/>
        <v>0</v>
      </c>
      <c r="L38" s="99">
        <f t="shared" si="8"/>
        <v>0</v>
      </c>
      <c r="M38" s="38"/>
      <c r="N38" s="38"/>
      <c r="O38" s="38"/>
    </row>
    <row r="39" spans="1:15" ht="15" customHeight="1" x14ac:dyDescent="0.25">
      <c r="A39" s="96" t="s">
        <v>114</v>
      </c>
      <c r="B39" s="96"/>
      <c r="C39" s="38"/>
      <c r="D39" s="38"/>
      <c r="E39" s="38"/>
      <c r="F39" s="38"/>
      <c r="G39" s="128">
        <v>0.15</v>
      </c>
      <c r="H39" s="129">
        <v>0.15</v>
      </c>
      <c r="I39" s="129">
        <v>0.15</v>
      </c>
      <c r="J39" s="129">
        <v>0.15</v>
      </c>
      <c r="K39" s="129">
        <v>0.15</v>
      </c>
      <c r="L39" s="129">
        <v>0.15</v>
      </c>
      <c r="M39" s="38"/>
      <c r="N39" s="38"/>
      <c r="O39" s="38"/>
    </row>
    <row r="40" spans="1:15" ht="15" customHeight="1" x14ac:dyDescent="0.25">
      <c r="A40" s="96" t="s">
        <v>115</v>
      </c>
      <c r="B40" s="96"/>
      <c r="C40" s="38"/>
      <c r="D40" s="38"/>
      <c r="E40" s="38"/>
      <c r="F40" s="38"/>
      <c r="G40" s="130">
        <v>15000</v>
      </c>
      <c r="H40" s="131">
        <v>15000</v>
      </c>
      <c r="I40" s="131">
        <v>15000</v>
      </c>
      <c r="J40" s="131">
        <v>15000</v>
      </c>
      <c r="K40" s="131">
        <v>15000</v>
      </c>
      <c r="L40" s="131">
        <v>15000</v>
      </c>
      <c r="M40" s="38"/>
      <c r="N40" s="38"/>
      <c r="O40" s="38"/>
    </row>
    <row r="41" spans="1:15" ht="15" customHeight="1" x14ac:dyDescent="0.25">
      <c r="A41" s="96" t="s">
        <v>116</v>
      </c>
      <c r="B41" s="96"/>
      <c r="C41" s="38"/>
      <c r="D41" s="38"/>
      <c r="E41" s="38"/>
      <c r="F41" s="38"/>
      <c r="G41" s="58">
        <f t="shared" ref="G41:L41" si="9">IF(OR(G38="",G40="",G38+G40=0),"",G39*G38/(G38+G40))</f>
        <v>0</v>
      </c>
      <c r="H41" s="56">
        <f t="shared" si="9"/>
        <v>0</v>
      </c>
      <c r="I41" s="56">
        <f t="shared" si="9"/>
        <v>0</v>
      </c>
      <c r="J41" s="56">
        <f t="shared" si="9"/>
        <v>0</v>
      </c>
      <c r="K41" s="56">
        <f t="shared" si="9"/>
        <v>0</v>
      </c>
      <c r="L41" s="56">
        <f t="shared" si="9"/>
        <v>0</v>
      </c>
      <c r="M41" s="38"/>
      <c r="N41" s="38"/>
      <c r="O41" s="38"/>
    </row>
    <row r="42" spans="1:15" ht="15" customHeight="1" x14ac:dyDescent="0.25">
      <c r="A42" s="124" t="s">
        <v>117</v>
      </c>
      <c r="B42" s="124"/>
      <c r="C42" s="125"/>
      <c r="D42" s="125"/>
      <c r="E42" s="125"/>
      <c r="F42" s="125"/>
      <c r="G42" s="132">
        <f t="shared" ref="G42:L42" si="10">MIN(1,SUM(G29,G35,G41))</f>
        <v>0.1</v>
      </c>
      <c r="H42" s="133">
        <f t="shared" si="10"/>
        <v>0.1</v>
      </c>
      <c r="I42" s="133">
        <f t="shared" si="10"/>
        <v>0.1</v>
      </c>
      <c r="J42" s="133">
        <f t="shared" si="10"/>
        <v>0.1</v>
      </c>
      <c r="K42" s="133">
        <f t="shared" si="10"/>
        <v>0.1</v>
      </c>
      <c r="L42" s="133">
        <f t="shared" si="10"/>
        <v>0.1</v>
      </c>
      <c r="M42" s="38"/>
      <c r="N42" s="38"/>
      <c r="O42" s="38"/>
    </row>
    <row r="43" spans="1:15" ht="15" customHeight="1" x14ac:dyDescent="0.25">
      <c r="A43" s="97" t="s">
        <v>118</v>
      </c>
      <c r="B43" s="97"/>
      <c r="C43" s="38"/>
      <c r="D43" s="38"/>
      <c r="E43" s="38"/>
      <c r="F43" s="38"/>
      <c r="G43" s="122">
        <f t="shared" ref="G43:L43" si="11">G26*G42</f>
        <v>185</v>
      </c>
      <c r="H43" s="123">
        <f t="shared" si="11"/>
        <v>364</v>
      </c>
      <c r="I43" s="123">
        <f t="shared" si="11"/>
        <v>390.40000000000009</v>
      </c>
      <c r="J43" s="123">
        <f t="shared" si="11"/>
        <v>419.44000000000005</v>
      </c>
      <c r="K43" s="123">
        <f t="shared" si="11"/>
        <v>451.38400000000001</v>
      </c>
      <c r="L43" s="123">
        <f t="shared" si="11"/>
        <v>486.52240000000012</v>
      </c>
      <c r="M43" s="38"/>
      <c r="N43" s="38"/>
      <c r="O43" s="38"/>
    </row>
    <row r="44" spans="1:15" ht="14.5" x14ac:dyDescent="0.25">
      <c r="A44" s="38"/>
      <c r="B44" s="38"/>
      <c r="C44" s="38"/>
      <c r="D44" s="38"/>
      <c r="E44" s="38"/>
      <c r="F44" s="38"/>
      <c r="G44" s="59"/>
      <c r="H44" s="38"/>
      <c r="I44" s="38"/>
      <c r="J44" s="38"/>
      <c r="K44" s="38"/>
      <c r="L44" s="38"/>
      <c r="M44" s="38"/>
      <c r="N44" s="38"/>
      <c r="O44" s="38"/>
    </row>
    <row r="45" spans="1:15" ht="18" customHeight="1" x14ac:dyDescent="0.25">
      <c r="A45" s="8" t="s">
        <v>119</v>
      </c>
      <c r="B45" s="8"/>
      <c r="C45" s="8"/>
      <c r="D45" s="8"/>
      <c r="E45" s="8"/>
      <c r="F45" s="8"/>
      <c r="G45" s="8"/>
      <c r="H45" s="8"/>
      <c r="I45" s="8"/>
      <c r="J45" s="8"/>
      <c r="K45" s="8"/>
      <c r="L45" s="8"/>
      <c r="M45" s="95"/>
      <c r="N45" s="95"/>
      <c r="O45" s="95"/>
    </row>
    <row r="46" spans="1:15" ht="15" customHeight="1" x14ac:dyDescent="0.25">
      <c r="A46" s="96" t="s">
        <v>120</v>
      </c>
      <c r="B46" s="96"/>
      <c r="C46" s="110">
        <f>Expenses_Y!C47</f>
        <v>0</v>
      </c>
      <c r="D46" s="110">
        <f>Expenses_Y!D47</f>
        <v>0</v>
      </c>
      <c r="E46" s="110">
        <f>Expenses_Y!E47</f>
        <v>0</v>
      </c>
      <c r="F46" s="110">
        <f>Expenses_Y!F47</f>
        <v>0</v>
      </c>
      <c r="G46" s="111">
        <f>Expenses_Y!G47</f>
        <v>0</v>
      </c>
      <c r="H46" s="112">
        <f>Expenses_Y!H47</f>
        <v>10000</v>
      </c>
      <c r="I46" s="112">
        <f>Expenses_Y!I47</f>
        <v>0</v>
      </c>
      <c r="J46" s="112">
        <f>Expenses_Y!J47</f>
        <v>0</v>
      </c>
      <c r="K46" s="112">
        <f>Expenses_Y!K47</f>
        <v>0</v>
      </c>
      <c r="L46" s="112">
        <f>Expenses_Y!L47</f>
        <v>0</v>
      </c>
      <c r="M46" s="38"/>
      <c r="N46" s="38"/>
      <c r="O46" s="38"/>
    </row>
    <row r="47" spans="1:15" ht="15" customHeight="1" x14ac:dyDescent="0.25">
      <c r="A47" s="96" t="s">
        <v>121</v>
      </c>
      <c r="B47" s="96"/>
      <c r="C47" s="38"/>
      <c r="D47" s="38"/>
      <c r="E47" s="38"/>
      <c r="F47" s="38"/>
      <c r="G47" s="115">
        <v>2E-3</v>
      </c>
      <c r="H47" s="116">
        <v>2E-3</v>
      </c>
      <c r="I47" s="116">
        <v>2E-3</v>
      </c>
      <c r="J47" s="116">
        <v>2E-3</v>
      </c>
      <c r="K47" s="116">
        <v>2E-3</v>
      </c>
      <c r="L47" s="116">
        <v>2E-3</v>
      </c>
      <c r="M47" s="38"/>
      <c r="N47" s="38"/>
      <c r="O47" s="38"/>
    </row>
    <row r="48" spans="1:15" ht="15" customHeight="1" x14ac:dyDescent="0.25">
      <c r="A48" s="96" t="s">
        <v>122</v>
      </c>
      <c r="B48" s="96"/>
      <c r="C48" s="38"/>
      <c r="D48" s="38"/>
      <c r="E48" s="38"/>
      <c r="F48" s="38"/>
      <c r="G48" s="122">
        <f t="shared" ref="G48:L48" si="12">G46*G47</f>
        <v>0</v>
      </c>
      <c r="H48" s="123">
        <f t="shared" si="12"/>
        <v>20</v>
      </c>
      <c r="I48" s="123">
        <f t="shared" si="12"/>
        <v>0</v>
      </c>
      <c r="J48" s="123">
        <f t="shared" si="12"/>
        <v>0</v>
      </c>
      <c r="K48" s="123">
        <f t="shared" si="12"/>
        <v>0</v>
      </c>
      <c r="L48" s="123">
        <f t="shared" si="12"/>
        <v>0</v>
      </c>
      <c r="M48" s="38"/>
      <c r="N48" s="38"/>
      <c r="O48" s="38"/>
    </row>
    <row r="49" spans="1:15" ht="15" customHeight="1" x14ac:dyDescent="0.25">
      <c r="A49" s="96" t="s">
        <v>123</v>
      </c>
      <c r="B49" s="96"/>
      <c r="C49" s="110">
        <f>Expenses_Y!C48</f>
        <v>0</v>
      </c>
      <c r="D49" s="110">
        <f>Expenses_Y!D48</f>
        <v>0</v>
      </c>
      <c r="E49" s="110">
        <f>Expenses_Y!E48</f>
        <v>0</v>
      </c>
      <c r="F49" s="110">
        <f>Expenses_Y!F48</f>
        <v>0</v>
      </c>
      <c r="G49" s="111">
        <f>Expenses_Y!G48</f>
        <v>0</v>
      </c>
      <c r="H49" s="112">
        <f>Expenses_Y!H48</f>
        <v>0</v>
      </c>
      <c r="I49" s="112">
        <f>Expenses_Y!I48</f>
        <v>15000</v>
      </c>
      <c r="J49" s="112">
        <f>Expenses_Y!J48</f>
        <v>0</v>
      </c>
      <c r="K49" s="112">
        <f>Expenses_Y!K48</f>
        <v>0</v>
      </c>
      <c r="L49" s="112">
        <f>Expenses_Y!L48</f>
        <v>0</v>
      </c>
      <c r="M49" s="38"/>
      <c r="N49" s="38"/>
      <c r="O49" s="38"/>
    </row>
    <row r="50" spans="1:15" ht="15" customHeight="1" x14ac:dyDescent="0.25">
      <c r="A50" s="96" t="s">
        <v>124</v>
      </c>
      <c r="B50" s="96"/>
      <c r="C50" s="38"/>
      <c r="D50" s="38"/>
      <c r="E50" s="38"/>
      <c r="F50" s="38"/>
      <c r="G50" s="115">
        <v>1E-3</v>
      </c>
      <c r="H50" s="116">
        <v>1E-3</v>
      </c>
      <c r="I50" s="116">
        <v>1E-3</v>
      </c>
      <c r="J50" s="116">
        <v>1E-3</v>
      </c>
      <c r="K50" s="116">
        <v>1E-3</v>
      </c>
      <c r="L50" s="116">
        <v>1E-3</v>
      </c>
      <c r="M50" s="38"/>
      <c r="N50" s="38"/>
      <c r="O50" s="38"/>
    </row>
    <row r="51" spans="1:15" ht="15" customHeight="1" x14ac:dyDescent="0.25">
      <c r="A51" s="96" t="s">
        <v>125</v>
      </c>
      <c r="B51" s="96"/>
      <c r="C51" s="38"/>
      <c r="D51" s="38"/>
      <c r="E51" s="38"/>
      <c r="F51" s="38"/>
      <c r="G51" s="122">
        <f t="shared" ref="G51:L51" si="13">IF(G49&gt;0,G49*G50,0)</f>
        <v>0</v>
      </c>
      <c r="H51" s="123">
        <f t="shared" si="13"/>
        <v>0</v>
      </c>
      <c r="I51" s="123">
        <f t="shared" si="13"/>
        <v>15</v>
      </c>
      <c r="J51" s="123">
        <f t="shared" si="13"/>
        <v>0</v>
      </c>
      <c r="K51" s="123">
        <f t="shared" si="13"/>
        <v>0</v>
      </c>
      <c r="L51" s="123">
        <f t="shared" si="13"/>
        <v>0</v>
      </c>
      <c r="M51" s="38"/>
      <c r="N51" s="38"/>
      <c r="O51" s="38"/>
    </row>
    <row r="52" spans="1:15" ht="15" customHeight="1" x14ac:dyDescent="0.25">
      <c r="A52" s="124" t="s">
        <v>126</v>
      </c>
      <c r="B52" s="124"/>
      <c r="C52" s="125"/>
      <c r="D52" s="125"/>
      <c r="E52" s="125"/>
      <c r="F52" s="125"/>
      <c r="G52" s="126">
        <f t="shared" ref="G52:L52" si="14">SUM(G48,G51)</f>
        <v>0</v>
      </c>
      <c r="H52" s="127">
        <f t="shared" si="14"/>
        <v>20</v>
      </c>
      <c r="I52" s="127">
        <f t="shared" si="14"/>
        <v>15</v>
      </c>
      <c r="J52" s="127">
        <f t="shared" si="14"/>
        <v>0</v>
      </c>
      <c r="K52" s="127">
        <f t="shared" si="14"/>
        <v>0</v>
      </c>
      <c r="L52" s="127">
        <f t="shared" si="14"/>
        <v>0</v>
      </c>
      <c r="M52" s="38"/>
      <c r="N52" s="38"/>
      <c r="O52" s="38"/>
    </row>
    <row r="53" spans="1:15" ht="14.5" x14ac:dyDescent="0.25">
      <c r="A53" s="38"/>
      <c r="B53" s="38"/>
      <c r="C53" s="38"/>
      <c r="D53" s="38"/>
      <c r="E53" s="38"/>
      <c r="F53" s="38"/>
      <c r="G53" s="59"/>
      <c r="H53" s="38"/>
      <c r="I53" s="38"/>
      <c r="J53" s="38"/>
      <c r="K53" s="38"/>
      <c r="L53" s="38"/>
      <c r="M53" s="38"/>
      <c r="N53" s="38"/>
      <c r="O53" s="38"/>
    </row>
    <row r="54" spans="1:15" ht="18" customHeight="1" x14ac:dyDescent="0.25">
      <c r="A54" s="8" t="s">
        <v>127</v>
      </c>
      <c r="B54" s="8"/>
      <c r="C54" s="8"/>
      <c r="D54" s="8"/>
      <c r="E54" s="8"/>
      <c r="F54" s="8"/>
      <c r="G54" s="8"/>
      <c r="H54" s="8"/>
      <c r="I54" s="8"/>
      <c r="J54" s="8"/>
      <c r="K54" s="8"/>
      <c r="L54" s="8"/>
      <c r="M54" s="95"/>
      <c r="N54" s="95"/>
      <c r="O54" s="95"/>
    </row>
    <row r="55" spans="1:15" ht="15" customHeight="1" x14ac:dyDescent="0.25">
      <c r="A55" s="124" t="s">
        <v>128</v>
      </c>
      <c r="B55" s="124"/>
      <c r="C55" s="125"/>
      <c r="D55" s="125"/>
      <c r="E55" s="125"/>
      <c r="F55" s="125"/>
      <c r="G55" s="126">
        <f t="shared" ref="G55:L55" si="15">SUM(G43,G52)</f>
        <v>185</v>
      </c>
      <c r="H55" s="127">
        <f t="shared" si="15"/>
        <v>384</v>
      </c>
      <c r="I55" s="127">
        <f t="shared" si="15"/>
        <v>405.40000000000009</v>
      </c>
      <c r="J55" s="127">
        <f t="shared" si="15"/>
        <v>419.44000000000005</v>
      </c>
      <c r="K55" s="127">
        <f t="shared" si="15"/>
        <v>451.38400000000001</v>
      </c>
      <c r="L55" s="127">
        <f t="shared" si="15"/>
        <v>486.52240000000012</v>
      </c>
      <c r="M55" s="38"/>
      <c r="N55" s="38"/>
      <c r="O55" s="38"/>
    </row>
    <row r="56" spans="1:15" ht="15" customHeight="1" x14ac:dyDescent="0.25">
      <c r="A56" s="96" t="s">
        <v>129</v>
      </c>
      <c r="B56" s="96"/>
      <c r="C56" s="38"/>
      <c r="D56" s="38"/>
      <c r="E56" s="38"/>
      <c r="F56" s="38"/>
      <c r="G56" s="128">
        <v>0.05</v>
      </c>
      <c r="H56" s="56">
        <f>G56</f>
        <v>0.05</v>
      </c>
      <c r="I56" s="56">
        <f>H56</f>
        <v>0.05</v>
      </c>
      <c r="J56" s="56">
        <f>I56</f>
        <v>0.05</v>
      </c>
      <c r="K56" s="56">
        <f>J56</f>
        <v>0.05</v>
      </c>
      <c r="L56" s="56">
        <f>K56</f>
        <v>0.05</v>
      </c>
      <c r="M56" s="38"/>
      <c r="N56" s="38"/>
      <c r="O56" s="38"/>
    </row>
    <row r="57" spans="1:15" ht="15" customHeight="1" x14ac:dyDescent="0.25">
      <c r="A57" s="96" t="s">
        <v>130</v>
      </c>
      <c r="B57" s="96"/>
      <c r="C57" s="38"/>
      <c r="D57" s="38"/>
      <c r="E57" s="38"/>
      <c r="F57" s="38"/>
      <c r="G57" s="122">
        <f t="shared" ref="G57:L57" si="16">G55*G56</f>
        <v>9.25</v>
      </c>
      <c r="H57" s="123">
        <f t="shared" si="16"/>
        <v>19.200000000000003</v>
      </c>
      <c r="I57" s="123">
        <f t="shared" si="16"/>
        <v>20.270000000000007</v>
      </c>
      <c r="J57" s="123">
        <f t="shared" si="16"/>
        <v>20.972000000000005</v>
      </c>
      <c r="K57" s="123">
        <f t="shared" si="16"/>
        <v>22.569200000000002</v>
      </c>
      <c r="L57" s="123">
        <f t="shared" si="16"/>
        <v>24.326120000000007</v>
      </c>
      <c r="M57" s="38"/>
      <c r="N57" s="38"/>
      <c r="O57" s="38"/>
    </row>
    <row r="58" spans="1:15" ht="15" customHeight="1" x14ac:dyDescent="0.25">
      <c r="A58" s="96" t="s">
        <v>131</v>
      </c>
      <c r="B58" s="96"/>
      <c r="C58" s="38"/>
      <c r="D58" s="38"/>
      <c r="E58" s="38"/>
      <c r="F58" s="38"/>
      <c r="G58" s="122">
        <f t="shared" ref="G58:L58" si="17">G55*(1-G56)</f>
        <v>175.75</v>
      </c>
      <c r="H58" s="123">
        <f t="shared" si="17"/>
        <v>364.79999999999995</v>
      </c>
      <c r="I58" s="123">
        <f t="shared" si="17"/>
        <v>385.13000000000005</v>
      </c>
      <c r="J58" s="123">
        <f t="shared" si="17"/>
        <v>398.46800000000002</v>
      </c>
      <c r="K58" s="123">
        <f t="shared" si="17"/>
        <v>428.81479999999999</v>
      </c>
      <c r="L58" s="123">
        <f t="shared" si="17"/>
        <v>462.19628000000012</v>
      </c>
      <c r="M58" s="38"/>
      <c r="N58" s="38"/>
      <c r="O58" s="38"/>
    </row>
    <row r="59" spans="1:15" ht="14.5" x14ac:dyDescent="0.25">
      <c r="A59" s="38"/>
      <c r="B59" s="38"/>
      <c r="C59" s="38"/>
      <c r="D59" s="38"/>
      <c r="E59" s="38"/>
      <c r="F59" s="38"/>
      <c r="G59" s="59"/>
      <c r="H59" s="38"/>
      <c r="I59" s="38"/>
      <c r="J59" s="38"/>
      <c r="K59" s="38"/>
      <c r="L59" s="38"/>
      <c r="M59" s="38"/>
      <c r="N59" s="38"/>
      <c r="O59" s="38"/>
    </row>
    <row r="60" spans="1:15" ht="18" customHeight="1" x14ac:dyDescent="0.25">
      <c r="A60" s="8" t="s">
        <v>132</v>
      </c>
      <c r="B60" s="8"/>
      <c r="C60" s="8"/>
      <c r="D60" s="8"/>
      <c r="E60" s="8"/>
      <c r="F60" s="8"/>
      <c r="G60" s="8"/>
      <c r="H60" s="8"/>
      <c r="I60" s="8"/>
      <c r="J60" s="8"/>
      <c r="K60" s="8"/>
      <c r="L60" s="8"/>
      <c r="M60" s="95"/>
      <c r="N60" s="95"/>
      <c r="O60" s="95"/>
    </row>
    <row r="61" spans="1:15" ht="15" customHeight="1" x14ac:dyDescent="0.25">
      <c r="A61" s="96" t="s">
        <v>133</v>
      </c>
      <c r="B61" s="96"/>
      <c r="C61" s="38"/>
      <c r="D61" s="38"/>
      <c r="E61" s="38"/>
      <c r="F61" s="38"/>
      <c r="G61" s="128">
        <v>0.15</v>
      </c>
      <c r="H61" s="38"/>
      <c r="I61" s="38"/>
      <c r="J61" s="38"/>
      <c r="K61" s="38"/>
      <c r="L61" s="38"/>
      <c r="M61" s="38"/>
      <c r="N61" s="38"/>
      <c r="O61" s="38"/>
    </row>
    <row r="62" spans="1:15" ht="15" customHeight="1" x14ac:dyDescent="0.25">
      <c r="A62" s="96" t="s">
        <v>134</v>
      </c>
      <c r="B62" s="96"/>
      <c r="C62" s="38"/>
      <c r="D62" s="38"/>
      <c r="E62" s="38"/>
      <c r="F62" s="38"/>
      <c r="G62" s="134">
        <v>1</v>
      </c>
      <c r="H62" s="38"/>
      <c r="I62" s="38"/>
      <c r="J62" s="38"/>
      <c r="K62" s="38"/>
      <c r="L62" s="38"/>
      <c r="M62" s="38"/>
      <c r="N62" s="38"/>
      <c r="O62" s="38"/>
    </row>
    <row r="63" spans="1:15" ht="15" customHeight="1" x14ac:dyDescent="0.25">
      <c r="A63" s="96" t="s">
        <v>135</v>
      </c>
      <c r="B63" s="96"/>
      <c r="C63" s="38"/>
      <c r="D63" s="38"/>
      <c r="E63" s="38"/>
      <c r="F63" s="38"/>
      <c r="G63" s="59"/>
      <c r="H63" s="114">
        <v>1</v>
      </c>
      <c r="I63" s="118">
        <f>$H$63*(1-$G$61)^1</f>
        <v>0.85</v>
      </c>
      <c r="J63" s="118">
        <f>$H$63*(1-$G$61)^2</f>
        <v>0.72249999999999992</v>
      </c>
      <c r="K63" s="118">
        <f>$H$63*(1-$G$61)^3</f>
        <v>0.61412499999999992</v>
      </c>
      <c r="L63" s="118">
        <f>$H$63*(1-$G$61)^4</f>
        <v>0.52200624999999989</v>
      </c>
      <c r="M63" s="38"/>
      <c r="N63" s="38"/>
      <c r="O63" s="38"/>
    </row>
    <row r="64" spans="1:15" ht="15" customHeight="1" x14ac:dyDescent="0.25">
      <c r="A64" s="96" t="s">
        <v>136</v>
      </c>
      <c r="B64" s="96"/>
      <c r="C64" s="38"/>
      <c r="D64" s="38"/>
      <c r="E64" s="38"/>
      <c r="F64" s="38"/>
      <c r="G64" s="59"/>
      <c r="H64" s="114">
        <v>2</v>
      </c>
      <c r="I64" s="118">
        <f>$H$64*(1-$G$61)^1</f>
        <v>1.7</v>
      </c>
      <c r="J64" s="118">
        <f>$H$64*(1-$G$61)^2</f>
        <v>1.4449999999999998</v>
      </c>
      <c r="K64" s="118">
        <f>$H$64*(1-$G$61)^3</f>
        <v>1.2282499999999998</v>
      </c>
      <c r="L64" s="118">
        <f>$H$64*(1-$G$61)^4</f>
        <v>1.0440124999999998</v>
      </c>
      <c r="M64" s="38"/>
      <c r="N64" s="38"/>
      <c r="O64" s="38"/>
    </row>
    <row r="65" spans="1:15" ht="15" customHeight="1" x14ac:dyDescent="0.25">
      <c r="A65" s="96" t="s">
        <v>137</v>
      </c>
      <c r="B65" s="96"/>
      <c r="C65" s="38"/>
      <c r="D65" s="38"/>
      <c r="E65" s="38"/>
      <c r="F65" s="38"/>
      <c r="G65" s="59"/>
      <c r="H65" s="114">
        <v>1</v>
      </c>
      <c r="I65" s="118">
        <f>$H$65*(1-$G$61)^1</f>
        <v>0.85</v>
      </c>
      <c r="J65" s="118">
        <f>$H$65*(1-$G$61)^2</f>
        <v>0.72249999999999992</v>
      </c>
      <c r="K65" s="118">
        <f>$H$65*(1-$G$61)^3</f>
        <v>0.61412499999999992</v>
      </c>
      <c r="L65" s="118">
        <f>$H$65*(1-$G$61)^4</f>
        <v>0.52200624999999989</v>
      </c>
      <c r="M65" s="38"/>
      <c r="N65" s="38"/>
      <c r="O65" s="38"/>
    </row>
    <row r="66" spans="1:15" ht="15" customHeight="1" x14ac:dyDescent="0.25">
      <c r="A66" s="96" t="s">
        <v>138</v>
      </c>
      <c r="B66" s="96"/>
      <c r="C66" s="38"/>
      <c r="D66" s="38"/>
      <c r="E66" s="38"/>
      <c r="F66" s="38"/>
      <c r="G66" s="59"/>
      <c r="H66" s="114">
        <v>1</v>
      </c>
      <c r="I66" s="118">
        <f>$H$66*(1-$G$61)^1</f>
        <v>0.85</v>
      </c>
      <c r="J66" s="118">
        <f>$H$66*(1-$G$61)^2</f>
        <v>0.72249999999999992</v>
      </c>
      <c r="K66" s="118">
        <f>$H$66*(1-$G$61)^3</f>
        <v>0.61412499999999992</v>
      </c>
      <c r="L66" s="118">
        <f>$H$66*(1-$G$61)^4</f>
        <v>0.52200624999999989</v>
      </c>
      <c r="M66" s="38"/>
      <c r="N66" s="38"/>
      <c r="O66" s="38"/>
    </row>
    <row r="67" spans="1:15" ht="15" customHeight="1" x14ac:dyDescent="0.25">
      <c r="A67" s="96" t="s">
        <v>139</v>
      </c>
      <c r="B67" s="96"/>
      <c r="C67" s="38"/>
      <c r="D67" s="38"/>
      <c r="E67" s="38"/>
      <c r="F67" s="38"/>
      <c r="G67" s="59"/>
      <c r="H67" s="123">
        <f>H76*H63*$G$62</f>
        <v>9.25</v>
      </c>
      <c r="I67" s="123">
        <f>I76*I63*$G$62</f>
        <v>226.93937500000001</v>
      </c>
      <c r="J67" s="123">
        <f>J76*J63*$G$62</f>
        <v>837.11830312499978</v>
      </c>
      <c r="K67" s="123">
        <f>K76*K63*$G$62</f>
        <v>2107.4476722910149</v>
      </c>
      <c r="L67" s="123">
        <f>L76*L63*$G$62</f>
        <v>4407.7131842899753</v>
      </c>
      <c r="M67" s="38"/>
      <c r="N67" s="38"/>
      <c r="O67" s="38"/>
    </row>
    <row r="68" spans="1:15" ht="15" customHeight="1" x14ac:dyDescent="0.25">
      <c r="A68" s="96" t="s">
        <v>140</v>
      </c>
      <c r="B68" s="96"/>
      <c r="C68" s="38"/>
      <c r="D68" s="38"/>
      <c r="E68" s="38"/>
      <c r="F68" s="38"/>
      <c r="G68" s="59"/>
      <c r="H68" s="123">
        <f>H76*H64*$G$62</f>
        <v>18.5</v>
      </c>
      <c r="I68" s="123">
        <f t="shared" ref="H68:L69" si="18">I76*I64*$G$62</f>
        <v>453.87875000000003</v>
      </c>
      <c r="J68" s="123">
        <f t="shared" si="18"/>
        <v>1674.2366062499996</v>
      </c>
      <c r="K68" s="123">
        <f t="shared" si="18"/>
        <v>4214.8953445820298</v>
      </c>
      <c r="L68" s="123">
        <f t="shared" si="18"/>
        <v>8815.4263685799506</v>
      </c>
      <c r="M68" s="38"/>
      <c r="N68" s="38"/>
      <c r="O68" s="38"/>
    </row>
    <row r="69" spans="1:15" ht="15" customHeight="1" x14ac:dyDescent="0.25">
      <c r="A69" s="96" t="s">
        <v>141</v>
      </c>
      <c r="B69" s="96"/>
      <c r="C69" s="38"/>
      <c r="D69" s="38"/>
      <c r="E69" s="38"/>
      <c r="F69" s="38"/>
      <c r="G69" s="59"/>
      <c r="H69" s="123">
        <f t="shared" si="18"/>
        <v>229.75</v>
      </c>
      <c r="I69" s="123">
        <f t="shared" si="18"/>
        <v>657.79374999999993</v>
      </c>
      <c r="J69" s="123">
        <f t="shared" si="18"/>
        <v>1472.8270874999998</v>
      </c>
      <c r="K69" s="123">
        <f t="shared" si="18"/>
        <v>3053.7317684867176</v>
      </c>
      <c r="L69" s="123">
        <f t="shared" si="18"/>
        <v>5835.0831898834385</v>
      </c>
      <c r="M69" s="38"/>
      <c r="N69" s="38"/>
      <c r="O69" s="38"/>
    </row>
    <row r="70" spans="1:15" ht="15" customHeight="1" x14ac:dyDescent="0.25">
      <c r="A70" s="96" t="s">
        <v>142</v>
      </c>
      <c r="B70" s="96"/>
      <c r="C70" s="38"/>
      <c r="D70" s="38"/>
      <c r="E70" s="38"/>
      <c r="F70" s="38"/>
      <c r="G70" s="59"/>
      <c r="H70" s="123">
        <f>H77*H66*$G$62</f>
        <v>229.75</v>
      </c>
      <c r="I70" s="123">
        <f>I77*I66*$G$62</f>
        <v>657.79374999999993</v>
      </c>
      <c r="J70" s="123">
        <f>J77*J66*$G$62</f>
        <v>1472.8270874999998</v>
      </c>
      <c r="K70" s="123">
        <f>K77*K66*$G$62</f>
        <v>3053.7317684867176</v>
      </c>
      <c r="L70" s="123">
        <f>L77*L66*$G$62</f>
        <v>5835.0831898834385</v>
      </c>
      <c r="M70" s="38"/>
      <c r="N70" s="38"/>
      <c r="O70" s="38"/>
    </row>
    <row r="71" spans="1:15" ht="15" customHeight="1" x14ac:dyDescent="0.25">
      <c r="A71" s="96" t="s">
        <v>143</v>
      </c>
      <c r="B71" s="96"/>
      <c r="C71" s="38"/>
      <c r="D71" s="38"/>
      <c r="E71" s="38"/>
      <c r="F71" s="38"/>
      <c r="G71" s="59"/>
      <c r="H71" s="123">
        <f t="shared" ref="H71:L72" si="19">SUM(H67,H69)</f>
        <v>239</v>
      </c>
      <c r="I71" s="123">
        <f t="shared" si="19"/>
        <v>884.73312499999997</v>
      </c>
      <c r="J71" s="123">
        <f t="shared" si="19"/>
        <v>2309.9453906249996</v>
      </c>
      <c r="K71" s="123">
        <f t="shared" si="19"/>
        <v>5161.1794407777325</v>
      </c>
      <c r="L71" s="123">
        <f t="shared" si="19"/>
        <v>10242.796374173413</v>
      </c>
      <c r="M71" s="38"/>
      <c r="N71" s="38"/>
      <c r="O71" s="38"/>
    </row>
    <row r="72" spans="1:15" ht="15" customHeight="1" x14ac:dyDescent="0.25">
      <c r="A72" s="96" t="s">
        <v>144</v>
      </c>
      <c r="B72" s="96"/>
      <c r="C72" s="38"/>
      <c r="D72" s="38"/>
      <c r="E72" s="38"/>
      <c r="F72" s="38"/>
      <c r="G72" s="59"/>
      <c r="H72" s="123">
        <f>SUM(H68,H70)</f>
        <v>248.25</v>
      </c>
      <c r="I72" s="123">
        <f t="shared" si="19"/>
        <v>1111.6724999999999</v>
      </c>
      <c r="J72" s="123">
        <f t="shared" si="19"/>
        <v>3147.0636937499994</v>
      </c>
      <c r="K72" s="123">
        <f t="shared" si="19"/>
        <v>7268.6271130687473</v>
      </c>
      <c r="L72" s="123">
        <f t="shared" si="19"/>
        <v>14650.509558463389</v>
      </c>
      <c r="M72" s="38"/>
      <c r="N72" s="38"/>
      <c r="O72" s="38"/>
    </row>
    <row r="73" spans="1:15" ht="15" customHeight="1" x14ac:dyDescent="0.25">
      <c r="A73" s="124" t="s">
        <v>145</v>
      </c>
      <c r="B73" s="124"/>
      <c r="C73" s="125"/>
      <c r="D73" s="125"/>
      <c r="E73" s="125"/>
      <c r="F73" s="125"/>
      <c r="G73" s="135"/>
      <c r="H73" s="127">
        <f>SUM(H71:H72)</f>
        <v>487.25</v>
      </c>
      <c r="I73" s="127">
        <f>SUM(I71:I72)</f>
        <v>1996.4056249999999</v>
      </c>
      <c r="J73" s="127">
        <f>SUM(J71:J72)</f>
        <v>5457.0090843749986</v>
      </c>
      <c r="K73" s="127">
        <f>SUM(K71:K72)</f>
        <v>12429.80655384648</v>
      </c>
      <c r="L73" s="127">
        <f>SUM(L71:L72)</f>
        <v>24893.305932636802</v>
      </c>
      <c r="M73" s="38"/>
      <c r="N73" s="38"/>
      <c r="O73" s="38"/>
    </row>
    <row r="74" spans="1:15" ht="14.5" x14ac:dyDescent="0.25">
      <c r="A74" s="38"/>
      <c r="B74" s="38"/>
      <c r="C74" s="38"/>
      <c r="D74" s="38"/>
      <c r="E74" s="38"/>
      <c r="F74" s="38"/>
      <c r="G74" s="59"/>
      <c r="H74" s="38"/>
      <c r="I74" s="38"/>
      <c r="J74" s="38"/>
      <c r="K74" s="38"/>
      <c r="L74" s="38"/>
      <c r="M74" s="38"/>
      <c r="N74" s="38"/>
      <c r="O74" s="38"/>
    </row>
    <row r="75" spans="1:15" ht="18" customHeight="1" x14ac:dyDescent="0.25">
      <c r="A75" s="8" t="s">
        <v>146</v>
      </c>
      <c r="B75" s="8"/>
      <c r="C75" s="8"/>
      <c r="D75" s="8"/>
      <c r="E75" s="8"/>
      <c r="F75" s="8"/>
      <c r="G75" s="8"/>
      <c r="H75" s="8"/>
      <c r="I75" s="8"/>
      <c r="J75" s="8"/>
      <c r="K75" s="8"/>
      <c r="L75" s="8"/>
      <c r="M75" s="95"/>
      <c r="N75" s="95"/>
      <c r="O75" s="95"/>
    </row>
    <row r="76" spans="1:15" ht="15" customHeight="1" x14ac:dyDescent="0.25">
      <c r="A76" s="96" t="s">
        <v>147</v>
      </c>
      <c r="B76" s="96"/>
      <c r="C76" s="38"/>
      <c r="D76" s="38"/>
      <c r="E76" s="38"/>
      <c r="F76" s="38"/>
      <c r="G76" s="122">
        <f t="shared" ref="G76:L77" si="20">F87</f>
        <v>0</v>
      </c>
      <c r="H76" s="123">
        <f t="shared" si="20"/>
        <v>9.25</v>
      </c>
      <c r="I76" s="123">
        <f t="shared" si="20"/>
        <v>266.98750000000001</v>
      </c>
      <c r="J76" s="123">
        <f t="shared" si="20"/>
        <v>1158.6412499999999</v>
      </c>
      <c r="K76" s="123">
        <f t="shared" si="20"/>
        <v>3431.6265781249995</v>
      </c>
      <c r="L76" s="123">
        <f t="shared" si="20"/>
        <v>8443.7938899964829</v>
      </c>
      <c r="M76" s="38"/>
      <c r="N76" s="38"/>
      <c r="O76" s="38"/>
    </row>
    <row r="77" spans="1:15" ht="15" customHeight="1" x14ac:dyDescent="0.25">
      <c r="A77" s="96" t="s">
        <v>148</v>
      </c>
      <c r="B77" s="96"/>
      <c r="C77" s="38"/>
      <c r="D77" s="38"/>
      <c r="E77" s="38"/>
      <c r="F77" s="38"/>
      <c r="G77" s="122">
        <f t="shared" si="20"/>
        <v>60</v>
      </c>
      <c r="H77" s="123">
        <f t="shared" si="20"/>
        <v>229.75</v>
      </c>
      <c r="I77" s="123">
        <f t="shared" si="20"/>
        <v>773.875</v>
      </c>
      <c r="J77" s="123">
        <f t="shared" si="20"/>
        <v>2038.5149999999999</v>
      </c>
      <c r="K77" s="123">
        <f t="shared" si="20"/>
        <v>4972.4921937499985</v>
      </c>
      <c r="L77" s="123">
        <f t="shared" si="20"/>
        <v>11178.186448693747</v>
      </c>
      <c r="M77" s="38"/>
      <c r="N77" s="38"/>
      <c r="O77" s="38"/>
    </row>
    <row r="78" spans="1:15" ht="15" customHeight="1" x14ac:dyDescent="0.25">
      <c r="A78" s="96" t="s">
        <v>149</v>
      </c>
      <c r="B78" s="96"/>
      <c r="C78" s="38"/>
      <c r="D78" s="38"/>
      <c r="E78" s="38"/>
      <c r="F78" s="38"/>
      <c r="G78" s="122">
        <f t="shared" ref="G78:L78" si="21">SUM(G76:G77)</f>
        <v>60</v>
      </c>
      <c r="H78" s="123">
        <f t="shared" si="21"/>
        <v>239</v>
      </c>
      <c r="I78" s="123">
        <f t="shared" si="21"/>
        <v>1040.8625</v>
      </c>
      <c r="J78" s="123">
        <f t="shared" si="21"/>
        <v>3197.15625</v>
      </c>
      <c r="K78" s="123">
        <f t="shared" si="21"/>
        <v>8404.118771874997</v>
      </c>
      <c r="L78" s="123">
        <f t="shared" si="21"/>
        <v>19621.980338690228</v>
      </c>
      <c r="M78" s="38"/>
      <c r="N78" s="38"/>
      <c r="O78" s="38"/>
    </row>
    <row r="79" spans="1:15" ht="15" customHeight="1" x14ac:dyDescent="0.25">
      <c r="A79" s="96" t="s">
        <v>150</v>
      </c>
      <c r="B79" s="96"/>
      <c r="C79" s="38"/>
      <c r="D79" s="38"/>
      <c r="E79" s="38"/>
      <c r="F79" s="38"/>
      <c r="G79" s="122">
        <f>G57</f>
        <v>9.25</v>
      </c>
      <c r="H79" s="123">
        <f t="shared" ref="H79:L80" si="22">SUM(H57,H71)</f>
        <v>258.2</v>
      </c>
      <c r="I79" s="123">
        <f t="shared" si="22"/>
        <v>905.00312499999995</v>
      </c>
      <c r="J79" s="123">
        <f t="shared" si="22"/>
        <v>2330.9173906249998</v>
      </c>
      <c r="K79" s="123">
        <f t="shared" si="22"/>
        <v>5183.7486407777324</v>
      </c>
      <c r="L79" s="123">
        <f t="shared" si="22"/>
        <v>10267.122494173413</v>
      </c>
      <c r="M79" s="38"/>
      <c r="N79" s="38"/>
      <c r="O79" s="38"/>
    </row>
    <row r="80" spans="1:15" ht="15" customHeight="1" x14ac:dyDescent="0.25">
      <c r="A80" s="96" t="s">
        <v>151</v>
      </c>
      <c r="B80" s="96"/>
      <c r="C80" s="38"/>
      <c r="D80" s="38"/>
      <c r="E80" s="38"/>
      <c r="F80" s="38"/>
      <c r="G80" s="122">
        <f>G58</f>
        <v>175.75</v>
      </c>
      <c r="H80" s="123">
        <f t="shared" si="22"/>
        <v>613.04999999999995</v>
      </c>
      <c r="I80" s="123">
        <f t="shared" si="22"/>
        <v>1496.8025</v>
      </c>
      <c r="J80" s="123">
        <f t="shared" si="22"/>
        <v>3545.5316937499992</v>
      </c>
      <c r="K80" s="123">
        <f t="shared" si="22"/>
        <v>7697.4419130687475</v>
      </c>
      <c r="L80" s="123">
        <f t="shared" si="22"/>
        <v>15112.705838463389</v>
      </c>
      <c r="M80" s="38"/>
      <c r="N80" s="38"/>
      <c r="O80" s="38"/>
    </row>
    <row r="81" spans="1:15" ht="15" customHeight="1" x14ac:dyDescent="0.25">
      <c r="A81" s="96" t="s">
        <v>152</v>
      </c>
      <c r="B81" s="96"/>
      <c r="C81" s="38"/>
      <c r="D81" s="38"/>
      <c r="E81" s="38"/>
      <c r="F81" s="38"/>
      <c r="G81" s="122">
        <f t="shared" ref="G81:L81" si="23">SUM(G79:G80)</f>
        <v>185</v>
      </c>
      <c r="H81" s="123">
        <f t="shared" si="23"/>
        <v>871.25</v>
      </c>
      <c r="I81" s="123">
        <f t="shared" si="23"/>
        <v>2401.805625</v>
      </c>
      <c r="J81" s="123">
        <f t="shared" si="23"/>
        <v>5876.4490843749991</v>
      </c>
      <c r="K81" s="123">
        <f t="shared" si="23"/>
        <v>12881.19055384648</v>
      </c>
      <c r="L81" s="123">
        <f t="shared" si="23"/>
        <v>25379.828332636804</v>
      </c>
      <c r="M81" s="38"/>
      <c r="N81" s="38"/>
      <c r="O81" s="38"/>
    </row>
    <row r="82" spans="1:15" ht="15" customHeight="1" x14ac:dyDescent="0.25">
      <c r="A82" s="96" t="s">
        <v>153</v>
      </c>
      <c r="B82" s="96"/>
      <c r="C82" s="38"/>
      <c r="D82" s="38"/>
      <c r="E82" s="38"/>
      <c r="F82" s="38"/>
      <c r="G82" s="128">
        <v>0.05</v>
      </c>
      <c r="H82" s="136">
        <f t="shared" ref="H82:L83" si="24">G82</f>
        <v>0.05</v>
      </c>
      <c r="I82" s="136">
        <f t="shared" si="24"/>
        <v>0.05</v>
      </c>
      <c r="J82" s="136">
        <f t="shared" si="24"/>
        <v>0.05</v>
      </c>
      <c r="K82" s="136">
        <f t="shared" si="24"/>
        <v>0.05</v>
      </c>
      <c r="L82" s="136">
        <f t="shared" si="24"/>
        <v>0.05</v>
      </c>
      <c r="M82" s="38"/>
      <c r="N82" s="38"/>
      <c r="O82" s="38"/>
    </row>
    <row r="83" spans="1:15" ht="15" customHeight="1" x14ac:dyDescent="0.25">
      <c r="A83" s="96" t="s">
        <v>154</v>
      </c>
      <c r="B83" s="96"/>
      <c r="C83" s="38"/>
      <c r="D83" s="38"/>
      <c r="E83" s="38"/>
      <c r="F83" s="38"/>
      <c r="G83" s="128">
        <v>0.3</v>
      </c>
      <c r="H83" s="136">
        <f t="shared" si="24"/>
        <v>0.3</v>
      </c>
      <c r="I83" s="136">
        <f t="shared" si="24"/>
        <v>0.3</v>
      </c>
      <c r="J83" s="136">
        <f t="shared" si="24"/>
        <v>0.3</v>
      </c>
      <c r="K83" s="136">
        <f t="shared" si="24"/>
        <v>0.3</v>
      </c>
      <c r="L83" s="136">
        <f t="shared" si="24"/>
        <v>0.3</v>
      </c>
      <c r="M83" s="38"/>
      <c r="N83" s="38"/>
      <c r="O83" s="38"/>
    </row>
    <row r="84" spans="1:15" ht="15" customHeight="1" x14ac:dyDescent="0.25">
      <c r="A84" s="96" t="s">
        <v>155</v>
      </c>
      <c r="B84" s="96"/>
      <c r="C84" s="38"/>
      <c r="D84" s="38"/>
      <c r="E84" s="38"/>
      <c r="F84" s="38"/>
      <c r="G84" s="122">
        <f t="shared" ref="G84:L84" si="25">G76*G82*(G3/12)</f>
        <v>0</v>
      </c>
      <c r="H84" s="123">
        <f t="shared" si="25"/>
        <v>0.46250000000000002</v>
      </c>
      <c r="I84" s="123">
        <f t="shared" si="25"/>
        <v>13.349375000000002</v>
      </c>
      <c r="J84" s="123">
        <f t="shared" si="25"/>
        <v>57.932062500000001</v>
      </c>
      <c r="K84" s="123">
        <f t="shared" si="25"/>
        <v>171.58132890624998</v>
      </c>
      <c r="L84" s="123">
        <f t="shared" si="25"/>
        <v>422.18969449982416</v>
      </c>
      <c r="M84" s="38"/>
      <c r="N84" s="38"/>
      <c r="O84" s="38"/>
    </row>
    <row r="85" spans="1:15" ht="15" customHeight="1" x14ac:dyDescent="0.25">
      <c r="A85" s="96" t="s">
        <v>156</v>
      </c>
      <c r="B85" s="96"/>
      <c r="C85" s="38"/>
      <c r="D85" s="38"/>
      <c r="E85" s="38"/>
      <c r="F85" s="38"/>
      <c r="G85" s="122">
        <f t="shared" ref="G85:L85" si="26">G77*G83*(G3/12)</f>
        <v>6</v>
      </c>
      <c r="H85" s="123">
        <f t="shared" si="26"/>
        <v>68.924999999999997</v>
      </c>
      <c r="I85" s="123">
        <f t="shared" si="26"/>
        <v>232.16249999999999</v>
      </c>
      <c r="J85" s="123">
        <f t="shared" si="26"/>
        <v>611.55449999999996</v>
      </c>
      <c r="K85" s="123">
        <f t="shared" si="26"/>
        <v>1491.7476581249996</v>
      </c>
      <c r="L85" s="123">
        <f t="shared" si="26"/>
        <v>3353.4559346081237</v>
      </c>
      <c r="M85" s="38"/>
      <c r="N85" s="38"/>
      <c r="O85" s="38"/>
    </row>
    <row r="86" spans="1:15" ht="15" customHeight="1" x14ac:dyDescent="0.25">
      <c r="A86" s="96" t="s">
        <v>157</v>
      </c>
      <c r="B86" s="96"/>
      <c r="C86" s="38"/>
      <c r="D86" s="38"/>
      <c r="E86" s="38"/>
      <c r="F86" s="38"/>
      <c r="G86" s="122">
        <f t="shared" ref="G86:L86" si="27">SUM(G84:G85)</f>
        <v>6</v>
      </c>
      <c r="H86" s="123">
        <f t="shared" si="27"/>
        <v>69.387500000000003</v>
      </c>
      <c r="I86" s="123">
        <f t="shared" si="27"/>
        <v>245.511875</v>
      </c>
      <c r="J86" s="123">
        <f t="shared" si="27"/>
        <v>669.48656249999999</v>
      </c>
      <c r="K86" s="123">
        <f t="shared" si="27"/>
        <v>1663.3289870312497</v>
      </c>
      <c r="L86" s="123">
        <f t="shared" si="27"/>
        <v>3775.645629107948</v>
      </c>
      <c r="M86" s="38"/>
      <c r="N86" s="38"/>
      <c r="O86" s="38"/>
    </row>
    <row r="87" spans="1:15" ht="15" customHeight="1" x14ac:dyDescent="0.25">
      <c r="A87" s="96" t="s">
        <v>158</v>
      </c>
      <c r="B87" s="96"/>
      <c r="C87" s="38"/>
      <c r="D87" s="38"/>
      <c r="E87" s="121">
        <v>0</v>
      </c>
      <c r="F87" s="121">
        <v>0</v>
      </c>
      <c r="G87" s="122">
        <f t="shared" ref="G87:L88" si="28">G76+G79-G84</f>
        <v>9.25</v>
      </c>
      <c r="H87" s="123">
        <f t="shared" si="28"/>
        <v>266.98750000000001</v>
      </c>
      <c r="I87" s="123">
        <f t="shared" si="28"/>
        <v>1158.6412499999999</v>
      </c>
      <c r="J87" s="123">
        <f t="shared" si="28"/>
        <v>3431.6265781249995</v>
      </c>
      <c r="K87" s="123">
        <f t="shared" si="28"/>
        <v>8443.7938899964829</v>
      </c>
      <c r="L87" s="123">
        <f t="shared" si="28"/>
        <v>18288.726689670075</v>
      </c>
      <c r="M87" s="38"/>
      <c r="N87" s="38"/>
      <c r="O87" s="38"/>
    </row>
    <row r="88" spans="1:15" ht="15" customHeight="1" x14ac:dyDescent="0.25">
      <c r="A88" s="96" t="s">
        <v>159</v>
      </c>
      <c r="B88" s="96"/>
      <c r="C88" s="38"/>
      <c r="D88" s="38"/>
      <c r="E88" s="121">
        <v>48</v>
      </c>
      <c r="F88" s="121">
        <v>60</v>
      </c>
      <c r="G88" s="122">
        <f t="shared" si="28"/>
        <v>229.75</v>
      </c>
      <c r="H88" s="123">
        <f t="shared" si="28"/>
        <v>773.875</v>
      </c>
      <c r="I88" s="123">
        <f t="shared" si="28"/>
        <v>2038.5149999999999</v>
      </c>
      <c r="J88" s="123">
        <f t="shared" si="28"/>
        <v>4972.4921937499985</v>
      </c>
      <c r="K88" s="123">
        <f t="shared" si="28"/>
        <v>11178.186448693747</v>
      </c>
      <c r="L88" s="123">
        <f t="shared" si="28"/>
        <v>22937.436352549012</v>
      </c>
      <c r="M88" s="38"/>
      <c r="N88" s="38"/>
      <c r="O88" s="38"/>
    </row>
    <row r="89" spans="1:15" ht="15" customHeight="1" x14ac:dyDescent="0.25">
      <c r="A89" s="100" t="s">
        <v>160</v>
      </c>
      <c r="B89" s="100"/>
      <c r="C89" s="137"/>
      <c r="D89" s="137"/>
      <c r="E89" s="137"/>
      <c r="F89" s="137"/>
      <c r="G89" s="138">
        <f t="shared" ref="G89:L89" si="29">SUM(G87:G88)</f>
        <v>239</v>
      </c>
      <c r="H89" s="139">
        <f t="shared" si="29"/>
        <v>1040.8625</v>
      </c>
      <c r="I89" s="139">
        <f t="shared" si="29"/>
        <v>3197.15625</v>
      </c>
      <c r="J89" s="139">
        <f t="shared" si="29"/>
        <v>8404.118771874997</v>
      </c>
      <c r="K89" s="139">
        <f t="shared" si="29"/>
        <v>19621.980338690228</v>
      </c>
      <c r="L89" s="139">
        <f t="shared" si="29"/>
        <v>41226.163042219086</v>
      </c>
      <c r="M89" s="38"/>
      <c r="N89" s="38"/>
      <c r="O89" s="38"/>
    </row>
    <row r="90" spans="1:15" ht="15" customHeight="1" x14ac:dyDescent="0.25">
      <c r="A90" s="38"/>
      <c r="B90" s="38"/>
      <c r="C90" s="38"/>
      <c r="D90" s="38"/>
      <c r="E90" s="38"/>
      <c r="F90" s="38"/>
      <c r="G90" s="59"/>
      <c r="H90" s="38"/>
      <c r="I90" s="38"/>
      <c r="J90" s="38"/>
      <c r="K90" s="38"/>
      <c r="L90" s="38"/>
      <c r="M90" s="38"/>
      <c r="N90" s="38"/>
      <c r="O90" s="38"/>
    </row>
    <row r="91" spans="1:15" ht="18" customHeight="1" x14ac:dyDescent="0.25">
      <c r="A91" s="8" t="s">
        <v>161</v>
      </c>
      <c r="B91" s="8"/>
      <c r="C91" s="8"/>
      <c r="D91" s="8"/>
      <c r="E91" s="8"/>
      <c r="F91" s="8"/>
      <c r="G91" s="8"/>
      <c r="H91" s="8"/>
      <c r="I91" s="8"/>
      <c r="J91" s="8"/>
      <c r="K91" s="8"/>
      <c r="L91" s="8"/>
      <c r="M91" s="95"/>
      <c r="N91" s="95"/>
      <c r="O91" s="95"/>
    </row>
    <row r="92" spans="1:15" ht="15" customHeight="1" x14ac:dyDescent="0.25">
      <c r="A92" s="96" t="s">
        <v>162</v>
      </c>
      <c r="B92" s="96"/>
      <c r="C92" s="38"/>
      <c r="D92" s="38"/>
      <c r="E92" s="38"/>
      <c r="F92" s="38"/>
      <c r="G92" s="130">
        <v>10</v>
      </c>
      <c r="H92" s="99">
        <f t="shared" ref="H92:L99" si="30">G92</f>
        <v>10</v>
      </c>
      <c r="I92" s="99">
        <f t="shared" si="30"/>
        <v>10</v>
      </c>
      <c r="J92" s="99">
        <f t="shared" si="30"/>
        <v>10</v>
      </c>
      <c r="K92" s="99">
        <f t="shared" si="30"/>
        <v>10</v>
      </c>
      <c r="L92" s="99">
        <f t="shared" si="30"/>
        <v>10</v>
      </c>
      <c r="M92" s="38"/>
      <c r="N92" s="38"/>
      <c r="O92" s="38"/>
    </row>
    <row r="93" spans="1:15" ht="15" customHeight="1" x14ac:dyDescent="0.25">
      <c r="A93" s="96" t="s">
        <v>163</v>
      </c>
      <c r="B93" s="96"/>
      <c r="C93" s="38"/>
      <c r="D93" s="38"/>
      <c r="E93" s="38"/>
      <c r="F93" s="38"/>
      <c r="G93" s="130">
        <v>0</v>
      </c>
      <c r="H93" s="99">
        <f t="shared" si="30"/>
        <v>0</v>
      </c>
      <c r="I93" s="99">
        <f t="shared" si="30"/>
        <v>0</v>
      </c>
      <c r="J93" s="99">
        <f t="shared" si="30"/>
        <v>0</v>
      </c>
      <c r="K93" s="99">
        <f t="shared" si="30"/>
        <v>0</v>
      </c>
      <c r="L93" s="99">
        <f t="shared" si="30"/>
        <v>0</v>
      </c>
      <c r="M93" s="38"/>
      <c r="N93" s="38"/>
      <c r="O93" s="38"/>
    </row>
    <row r="94" spans="1:15" ht="15" customHeight="1" x14ac:dyDescent="0.25">
      <c r="A94" s="96" t="s">
        <v>164</v>
      </c>
      <c r="B94" s="96"/>
      <c r="C94" s="38"/>
      <c r="D94" s="38"/>
      <c r="E94" s="38"/>
      <c r="F94" s="38"/>
      <c r="G94" s="113">
        <v>1</v>
      </c>
      <c r="H94" s="118">
        <f t="shared" si="30"/>
        <v>1</v>
      </c>
      <c r="I94" s="118">
        <f t="shared" si="30"/>
        <v>1</v>
      </c>
      <c r="J94" s="118">
        <f t="shared" si="30"/>
        <v>1</v>
      </c>
      <c r="K94" s="118">
        <f t="shared" si="30"/>
        <v>1</v>
      </c>
      <c r="L94" s="118">
        <f t="shared" si="30"/>
        <v>1</v>
      </c>
      <c r="M94" s="38"/>
      <c r="N94" s="38"/>
      <c r="O94" s="38"/>
    </row>
    <row r="95" spans="1:15" ht="15" customHeight="1" x14ac:dyDescent="0.25">
      <c r="A95" s="96" t="s">
        <v>165</v>
      </c>
      <c r="B95" s="96"/>
      <c r="C95" s="38"/>
      <c r="D95" s="38"/>
      <c r="E95" s="38"/>
      <c r="F95" s="38"/>
      <c r="G95" s="113">
        <v>1</v>
      </c>
      <c r="H95" s="118">
        <f t="shared" si="30"/>
        <v>1</v>
      </c>
      <c r="I95" s="118">
        <f t="shared" si="30"/>
        <v>1</v>
      </c>
      <c r="J95" s="118">
        <f t="shared" si="30"/>
        <v>1</v>
      </c>
      <c r="K95" s="118">
        <f t="shared" si="30"/>
        <v>1</v>
      </c>
      <c r="L95" s="118">
        <f t="shared" si="30"/>
        <v>1</v>
      </c>
      <c r="M95" s="38"/>
      <c r="N95" s="38"/>
      <c r="O95" s="38"/>
    </row>
    <row r="96" spans="1:15" ht="15" customHeight="1" x14ac:dyDescent="0.25">
      <c r="A96" s="96" t="s">
        <v>166</v>
      </c>
      <c r="B96" s="96"/>
      <c r="C96" s="38"/>
      <c r="D96" s="38"/>
      <c r="E96" s="38"/>
      <c r="F96" s="38"/>
      <c r="G96" s="128">
        <v>0.9</v>
      </c>
      <c r="H96" s="56">
        <f t="shared" si="30"/>
        <v>0.9</v>
      </c>
      <c r="I96" s="56">
        <f t="shared" si="30"/>
        <v>0.9</v>
      </c>
      <c r="J96" s="56">
        <f t="shared" si="30"/>
        <v>0.9</v>
      </c>
      <c r="K96" s="56">
        <f t="shared" si="30"/>
        <v>0.9</v>
      </c>
      <c r="L96" s="56">
        <f t="shared" si="30"/>
        <v>0.9</v>
      </c>
      <c r="M96" s="38"/>
      <c r="N96" s="38"/>
      <c r="O96" s="38"/>
    </row>
    <row r="97" spans="1:15" ht="15" customHeight="1" x14ac:dyDescent="0.25">
      <c r="A97" s="96" t="s">
        <v>167</v>
      </c>
      <c r="B97" s="96"/>
      <c r="C97" s="38"/>
      <c r="D97" s="38"/>
      <c r="E97" s="38"/>
      <c r="F97" s="38"/>
      <c r="G97" s="128">
        <v>0.1</v>
      </c>
      <c r="H97" s="56">
        <f t="shared" si="30"/>
        <v>0.1</v>
      </c>
      <c r="I97" s="56">
        <f t="shared" si="30"/>
        <v>0.1</v>
      </c>
      <c r="J97" s="56">
        <f t="shared" si="30"/>
        <v>0.1</v>
      </c>
      <c r="K97" s="56">
        <f t="shared" si="30"/>
        <v>0.1</v>
      </c>
      <c r="L97" s="56">
        <f t="shared" si="30"/>
        <v>0.1</v>
      </c>
      <c r="M97" s="38"/>
      <c r="N97" s="38"/>
      <c r="O97" s="38"/>
    </row>
    <row r="98" spans="1:15" ht="15" customHeight="1" x14ac:dyDescent="0.25">
      <c r="A98" s="96" t="s">
        <v>168</v>
      </c>
      <c r="B98" s="96"/>
      <c r="C98" s="38"/>
      <c r="D98" s="38"/>
      <c r="E98" s="38"/>
      <c r="F98" s="38"/>
      <c r="G98" s="128">
        <v>0.4</v>
      </c>
      <c r="H98" s="56">
        <f t="shared" si="30"/>
        <v>0.4</v>
      </c>
      <c r="I98" s="56">
        <f t="shared" si="30"/>
        <v>0.4</v>
      </c>
      <c r="J98" s="56">
        <f t="shared" si="30"/>
        <v>0.4</v>
      </c>
      <c r="K98" s="56">
        <f t="shared" si="30"/>
        <v>0.4</v>
      </c>
      <c r="L98" s="56">
        <f t="shared" si="30"/>
        <v>0.4</v>
      </c>
      <c r="M98" s="38"/>
      <c r="N98" s="38"/>
      <c r="O98" s="38"/>
    </row>
    <row r="99" spans="1:15" ht="15" customHeight="1" x14ac:dyDescent="0.25">
      <c r="A99" s="96" t="s">
        <v>169</v>
      </c>
      <c r="B99" s="96"/>
      <c r="C99" s="38"/>
      <c r="D99" s="38"/>
      <c r="E99" s="38"/>
      <c r="F99" s="38"/>
      <c r="G99" s="128">
        <v>0.6</v>
      </c>
      <c r="H99" s="56">
        <f t="shared" si="30"/>
        <v>0.6</v>
      </c>
      <c r="I99" s="56">
        <f t="shared" si="30"/>
        <v>0.6</v>
      </c>
      <c r="J99" s="56">
        <f t="shared" si="30"/>
        <v>0.6</v>
      </c>
      <c r="K99" s="56">
        <f t="shared" si="30"/>
        <v>0.6</v>
      </c>
      <c r="L99" s="56">
        <f t="shared" si="30"/>
        <v>0.6</v>
      </c>
      <c r="M99" s="38"/>
      <c r="N99" s="38"/>
      <c r="O99" s="38"/>
    </row>
    <row r="100" spans="1:15" ht="14.5" x14ac:dyDescent="0.25">
      <c r="A100" s="38"/>
      <c r="B100" s="38"/>
      <c r="C100" s="38"/>
      <c r="D100" s="38"/>
      <c r="E100" s="38"/>
      <c r="F100" s="38"/>
      <c r="G100" s="59"/>
      <c r="H100" s="38"/>
      <c r="I100" s="38"/>
      <c r="J100" s="38"/>
      <c r="K100" s="38"/>
      <c r="L100" s="38"/>
      <c r="M100" s="38"/>
      <c r="N100" s="38"/>
      <c r="O100" s="38"/>
    </row>
    <row r="101" spans="1:15" ht="18" customHeight="1" x14ac:dyDescent="0.25">
      <c r="A101" s="8" t="s">
        <v>170</v>
      </c>
      <c r="B101" s="8"/>
      <c r="C101" s="8"/>
      <c r="D101" s="8"/>
      <c r="E101" s="8"/>
      <c r="F101" s="8"/>
      <c r="G101" s="8"/>
      <c r="H101" s="8"/>
      <c r="I101" s="8"/>
      <c r="J101" s="8"/>
      <c r="K101" s="8"/>
      <c r="L101" s="8"/>
      <c r="M101" s="95"/>
      <c r="N101" s="95"/>
      <c r="O101" s="95"/>
    </row>
    <row r="102" spans="1:15" ht="15" customHeight="1" x14ac:dyDescent="0.25">
      <c r="A102" s="96" t="s">
        <v>171</v>
      </c>
      <c r="B102" s="96"/>
      <c r="C102" s="38"/>
      <c r="D102" s="38"/>
      <c r="E102" s="38"/>
      <c r="F102" s="38"/>
      <c r="G102" s="122">
        <f t="shared" ref="G102:L102" si="31">G87*G94*G96</f>
        <v>8.3250000000000011</v>
      </c>
      <c r="H102" s="123">
        <f t="shared" si="31"/>
        <v>240.28875000000002</v>
      </c>
      <c r="I102" s="123">
        <f t="shared" si="31"/>
        <v>1042.7771249999998</v>
      </c>
      <c r="J102" s="123">
        <f t="shared" si="31"/>
        <v>3088.4639203124998</v>
      </c>
      <c r="K102" s="123">
        <f t="shared" si="31"/>
        <v>7599.4145009968352</v>
      </c>
      <c r="L102" s="123">
        <f t="shared" si="31"/>
        <v>16459.854020703067</v>
      </c>
      <c r="M102" s="38"/>
      <c r="N102" s="38"/>
      <c r="O102" s="38"/>
    </row>
    <row r="103" spans="1:15" ht="15" customHeight="1" x14ac:dyDescent="0.25">
      <c r="A103" s="96" t="s">
        <v>172</v>
      </c>
      <c r="B103" s="96"/>
      <c r="C103" s="38"/>
      <c r="D103" s="38"/>
      <c r="E103" s="38"/>
      <c r="F103" s="38"/>
      <c r="G103" s="122">
        <f t="shared" ref="G103:L104" si="32">G87*G94*G97</f>
        <v>0.92500000000000004</v>
      </c>
      <c r="H103" s="123">
        <f t="shared" si="32"/>
        <v>26.698750000000004</v>
      </c>
      <c r="I103" s="123">
        <f t="shared" si="32"/>
        <v>115.864125</v>
      </c>
      <c r="J103" s="123">
        <f t="shared" si="32"/>
        <v>343.16265781249996</v>
      </c>
      <c r="K103" s="123">
        <f t="shared" si="32"/>
        <v>844.37938899964831</v>
      </c>
      <c r="L103" s="123">
        <f t="shared" si="32"/>
        <v>1828.8726689670075</v>
      </c>
      <c r="M103" s="38"/>
      <c r="N103" s="38"/>
      <c r="O103" s="38"/>
    </row>
    <row r="104" spans="1:15" ht="15" customHeight="1" x14ac:dyDescent="0.25">
      <c r="A104" s="96" t="s">
        <v>173</v>
      </c>
      <c r="B104" s="96"/>
      <c r="C104" s="38"/>
      <c r="D104" s="38"/>
      <c r="E104" s="38"/>
      <c r="F104" s="38"/>
      <c r="G104" s="122">
        <f t="shared" si="32"/>
        <v>91.9</v>
      </c>
      <c r="H104" s="123">
        <f t="shared" si="32"/>
        <v>309.55</v>
      </c>
      <c r="I104" s="123">
        <f t="shared" si="32"/>
        <v>815.40599999999995</v>
      </c>
      <c r="J104" s="123">
        <f t="shared" si="32"/>
        <v>1988.9968774999995</v>
      </c>
      <c r="K104" s="123">
        <f t="shared" si="32"/>
        <v>4471.2745794774992</v>
      </c>
      <c r="L104" s="123">
        <f t="shared" si="32"/>
        <v>9174.9745410196047</v>
      </c>
      <c r="M104" s="38"/>
      <c r="N104" s="38"/>
      <c r="O104" s="38"/>
    </row>
    <row r="105" spans="1:15" ht="15" customHeight="1" x14ac:dyDescent="0.25">
      <c r="A105" s="96" t="s">
        <v>174</v>
      </c>
      <c r="B105" s="96"/>
      <c r="C105" s="38"/>
      <c r="D105" s="38"/>
      <c r="E105" s="38"/>
      <c r="F105" s="38"/>
      <c r="G105" s="122">
        <f>G88*G95*G99</f>
        <v>137.85</v>
      </c>
      <c r="H105" s="123">
        <f t="shared" ref="G105:L105" si="33">H88*H95*H99</f>
        <v>464.32499999999999</v>
      </c>
      <c r="I105" s="123">
        <f t="shared" si="33"/>
        <v>1223.1089999999999</v>
      </c>
      <c r="J105" s="123">
        <f t="shared" si="33"/>
        <v>2983.4953162499992</v>
      </c>
      <c r="K105" s="123">
        <f t="shared" si="33"/>
        <v>6706.9118692162474</v>
      </c>
      <c r="L105" s="123">
        <f t="shared" si="33"/>
        <v>13762.461811529407</v>
      </c>
      <c r="M105" s="38"/>
      <c r="N105" s="38"/>
      <c r="O105" s="38"/>
    </row>
    <row r="106" spans="1:15" ht="15" customHeight="1" x14ac:dyDescent="0.25">
      <c r="A106" s="124" t="s">
        <v>175</v>
      </c>
      <c r="B106" s="124"/>
      <c r="C106" s="125"/>
      <c r="D106" s="125"/>
      <c r="E106" s="125"/>
      <c r="F106" s="125"/>
      <c r="G106" s="126">
        <f t="shared" ref="G106:L106" si="34">SUM(G102:G105)</f>
        <v>239</v>
      </c>
      <c r="H106" s="127">
        <f t="shared" si="34"/>
        <v>1040.8625</v>
      </c>
      <c r="I106" s="127">
        <f t="shared" si="34"/>
        <v>3197.15625</v>
      </c>
      <c r="J106" s="127">
        <f t="shared" si="34"/>
        <v>8404.1187718749989</v>
      </c>
      <c r="K106" s="127">
        <f t="shared" si="34"/>
        <v>19621.980338690231</v>
      </c>
      <c r="L106" s="127">
        <f t="shared" si="34"/>
        <v>41226.163042219086</v>
      </c>
      <c r="M106" s="38"/>
      <c r="N106" s="38"/>
      <c r="O106" s="38"/>
    </row>
    <row r="107" spans="1:15" ht="14.5" x14ac:dyDescent="0.25">
      <c r="A107" s="38"/>
      <c r="B107" s="38"/>
      <c r="C107" s="38"/>
      <c r="D107" s="38"/>
      <c r="E107" s="38"/>
      <c r="F107" s="38"/>
      <c r="G107" s="59"/>
      <c r="H107" s="38"/>
      <c r="I107" s="38"/>
      <c r="J107" s="38"/>
      <c r="K107" s="38"/>
      <c r="L107" s="38"/>
      <c r="M107" s="38"/>
      <c r="N107" s="38"/>
      <c r="O107" s="38"/>
    </row>
    <row r="108" spans="1:15" ht="18" customHeight="1" x14ac:dyDescent="0.25">
      <c r="A108" s="8" t="s">
        <v>176</v>
      </c>
      <c r="B108" s="8"/>
      <c r="C108" s="8"/>
      <c r="D108" s="8"/>
      <c r="E108" s="8"/>
      <c r="F108" s="8"/>
      <c r="G108" s="8"/>
      <c r="H108" s="8"/>
      <c r="I108" s="8"/>
      <c r="J108" s="8"/>
      <c r="K108" s="8"/>
      <c r="L108" s="8"/>
      <c r="M108" s="95"/>
      <c r="N108" s="95"/>
      <c r="O108" s="95"/>
    </row>
    <row r="109" spans="1:15" ht="15" customHeight="1" x14ac:dyDescent="0.25">
      <c r="A109" s="96" t="s">
        <v>177</v>
      </c>
      <c r="B109" s="96"/>
      <c r="C109" s="38"/>
      <c r="D109" s="38"/>
      <c r="E109" s="38"/>
      <c r="F109" s="38"/>
      <c r="G109" s="120">
        <v>30</v>
      </c>
      <c r="H109" s="123">
        <f t="shared" ref="H109:L120" si="35">G109</f>
        <v>30</v>
      </c>
      <c r="I109" s="123">
        <f t="shared" si="35"/>
        <v>30</v>
      </c>
      <c r="J109" s="123">
        <f t="shared" si="35"/>
        <v>30</v>
      </c>
      <c r="K109" s="123">
        <f t="shared" si="35"/>
        <v>30</v>
      </c>
      <c r="L109" s="123">
        <f t="shared" si="35"/>
        <v>30</v>
      </c>
      <c r="M109" s="38"/>
      <c r="N109" s="38"/>
      <c r="O109" s="210"/>
    </row>
    <row r="110" spans="1:15" ht="15" customHeight="1" x14ac:dyDescent="0.25">
      <c r="A110" s="96" t="s">
        <v>178</v>
      </c>
      <c r="B110" s="96"/>
      <c r="C110" s="38"/>
      <c r="D110" s="38"/>
      <c r="E110" s="38"/>
      <c r="F110" s="38"/>
      <c r="G110" s="120">
        <v>20</v>
      </c>
      <c r="H110" s="123">
        <f t="shared" si="35"/>
        <v>20</v>
      </c>
      <c r="I110" s="123">
        <f t="shared" si="35"/>
        <v>20</v>
      </c>
      <c r="J110" s="123">
        <f t="shared" si="35"/>
        <v>20</v>
      </c>
      <c r="K110" s="123">
        <f t="shared" si="35"/>
        <v>20</v>
      </c>
      <c r="L110" s="123">
        <f t="shared" si="35"/>
        <v>20</v>
      </c>
      <c r="M110" s="38"/>
      <c r="N110" s="38"/>
      <c r="O110" s="38"/>
    </row>
    <row r="111" spans="1:15" ht="15" customHeight="1" x14ac:dyDescent="0.25">
      <c r="A111" s="96" t="s">
        <v>179</v>
      </c>
      <c r="B111" s="96"/>
      <c r="C111" s="38"/>
      <c r="D111" s="38"/>
      <c r="E111" s="38"/>
      <c r="F111" s="38"/>
      <c r="G111" s="120">
        <v>10</v>
      </c>
      <c r="H111" s="123">
        <f t="shared" si="35"/>
        <v>10</v>
      </c>
      <c r="I111" s="123">
        <f t="shared" si="35"/>
        <v>10</v>
      </c>
      <c r="J111" s="123">
        <f t="shared" si="35"/>
        <v>10</v>
      </c>
      <c r="K111" s="123">
        <f t="shared" si="35"/>
        <v>10</v>
      </c>
      <c r="L111" s="123">
        <f t="shared" si="35"/>
        <v>10</v>
      </c>
      <c r="M111" s="38"/>
      <c r="N111" s="38"/>
      <c r="O111" s="38"/>
    </row>
    <row r="112" spans="1:15" ht="15" customHeight="1" x14ac:dyDescent="0.25">
      <c r="A112" s="96" t="s">
        <v>180</v>
      </c>
      <c r="B112" s="96"/>
      <c r="C112" s="38"/>
      <c r="D112" s="38"/>
      <c r="E112" s="38"/>
      <c r="F112" s="38"/>
      <c r="G112" s="120">
        <v>5</v>
      </c>
      <c r="H112" s="123">
        <f t="shared" si="35"/>
        <v>5</v>
      </c>
      <c r="I112" s="123">
        <f t="shared" si="35"/>
        <v>5</v>
      </c>
      <c r="J112" s="123">
        <f t="shared" si="35"/>
        <v>5</v>
      </c>
      <c r="K112" s="123">
        <f t="shared" si="35"/>
        <v>5</v>
      </c>
      <c r="L112" s="123">
        <f t="shared" si="35"/>
        <v>5</v>
      </c>
      <c r="M112" s="38"/>
      <c r="N112" s="38"/>
      <c r="O112" s="38"/>
    </row>
    <row r="113" spans="1:15" ht="15" customHeight="1" x14ac:dyDescent="0.25">
      <c r="A113" s="96" t="s">
        <v>181</v>
      </c>
      <c r="B113" s="96"/>
      <c r="C113" s="38"/>
      <c r="D113" s="38"/>
      <c r="E113" s="38"/>
      <c r="F113" s="38"/>
      <c r="G113" s="130">
        <v>50</v>
      </c>
      <c r="H113" s="99">
        <f t="shared" si="35"/>
        <v>50</v>
      </c>
      <c r="I113" s="99">
        <f t="shared" si="35"/>
        <v>50</v>
      </c>
      <c r="J113" s="99">
        <f t="shared" si="35"/>
        <v>50</v>
      </c>
      <c r="K113" s="99">
        <f t="shared" si="35"/>
        <v>50</v>
      </c>
      <c r="L113" s="99">
        <f t="shared" si="35"/>
        <v>50</v>
      </c>
      <c r="M113" s="38"/>
      <c r="N113" s="38"/>
      <c r="O113" s="38"/>
    </row>
    <row r="114" spans="1:15" ht="15" customHeight="1" x14ac:dyDescent="0.25">
      <c r="A114" s="96" t="s">
        <v>182</v>
      </c>
      <c r="B114" s="96"/>
      <c r="C114" s="38"/>
      <c r="D114" s="38"/>
      <c r="E114" s="38"/>
      <c r="F114" s="38"/>
      <c r="G114" s="130">
        <v>0</v>
      </c>
      <c r="H114" s="99">
        <f t="shared" si="35"/>
        <v>0</v>
      </c>
      <c r="I114" s="99">
        <f t="shared" si="35"/>
        <v>0</v>
      </c>
      <c r="J114" s="99">
        <f t="shared" si="35"/>
        <v>0</v>
      </c>
      <c r="K114" s="99">
        <f t="shared" si="35"/>
        <v>0</v>
      </c>
      <c r="L114" s="99">
        <f t="shared" si="35"/>
        <v>0</v>
      </c>
      <c r="M114" s="38"/>
      <c r="N114" s="38"/>
      <c r="O114" s="38"/>
    </row>
    <row r="115" spans="1:15" ht="15" customHeight="1" x14ac:dyDescent="0.25">
      <c r="A115" s="96" t="s">
        <v>183</v>
      </c>
      <c r="B115" s="96"/>
      <c r="C115" s="38"/>
      <c r="D115" s="38"/>
      <c r="E115" s="38"/>
      <c r="F115" s="38"/>
      <c r="G115" s="130">
        <v>30</v>
      </c>
      <c r="H115" s="99">
        <f t="shared" si="35"/>
        <v>30</v>
      </c>
      <c r="I115" s="99">
        <f t="shared" si="35"/>
        <v>30</v>
      </c>
      <c r="J115" s="99">
        <f t="shared" si="35"/>
        <v>30</v>
      </c>
      <c r="K115" s="99">
        <f t="shared" si="35"/>
        <v>30</v>
      </c>
      <c r="L115" s="99">
        <f t="shared" si="35"/>
        <v>30</v>
      </c>
      <c r="M115" s="38"/>
      <c r="N115" s="38"/>
      <c r="O115" s="38"/>
    </row>
    <row r="116" spans="1:15" ht="15" customHeight="1" x14ac:dyDescent="0.25">
      <c r="A116" s="96" t="s">
        <v>184</v>
      </c>
      <c r="B116" s="96"/>
      <c r="C116" s="38"/>
      <c r="D116" s="38"/>
      <c r="E116" s="38"/>
      <c r="F116" s="38"/>
      <c r="G116" s="130">
        <v>0</v>
      </c>
      <c r="H116" s="99">
        <f t="shared" si="35"/>
        <v>0</v>
      </c>
      <c r="I116" s="99">
        <f t="shared" si="35"/>
        <v>0</v>
      </c>
      <c r="J116" s="99">
        <f t="shared" si="35"/>
        <v>0</v>
      </c>
      <c r="K116" s="99">
        <f t="shared" si="35"/>
        <v>0</v>
      </c>
      <c r="L116" s="99">
        <f t="shared" si="35"/>
        <v>0</v>
      </c>
      <c r="M116" s="38"/>
      <c r="N116" s="38"/>
      <c r="O116" s="38"/>
    </row>
    <row r="117" spans="1:15" ht="15" customHeight="1" x14ac:dyDescent="0.25">
      <c r="A117" s="96" t="s">
        <v>185</v>
      </c>
      <c r="B117" s="96"/>
      <c r="C117" s="38"/>
      <c r="D117" s="38"/>
      <c r="E117" s="38"/>
      <c r="F117" s="38"/>
      <c r="G117" s="128">
        <v>0.05</v>
      </c>
      <c r="H117" s="56">
        <f t="shared" si="35"/>
        <v>0.05</v>
      </c>
      <c r="I117" s="56">
        <f t="shared" si="35"/>
        <v>0.05</v>
      </c>
      <c r="J117" s="56">
        <f t="shared" si="35"/>
        <v>0.05</v>
      </c>
      <c r="K117" s="56">
        <f t="shared" si="35"/>
        <v>0.05</v>
      </c>
      <c r="L117" s="56">
        <f t="shared" si="35"/>
        <v>0.05</v>
      </c>
      <c r="M117" s="38"/>
      <c r="N117" s="38"/>
      <c r="O117" s="38"/>
    </row>
    <row r="118" spans="1:15" ht="15" customHeight="1" x14ac:dyDescent="0.25">
      <c r="A118" s="96" t="s">
        <v>186</v>
      </c>
      <c r="B118" s="96"/>
      <c r="C118" s="38"/>
      <c r="D118" s="38"/>
      <c r="E118" s="38"/>
      <c r="F118" s="38"/>
      <c r="G118" s="128">
        <v>0.05</v>
      </c>
      <c r="H118" s="56">
        <f t="shared" si="35"/>
        <v>0.05</v>
      </c>
      <c r="I118" s="56">
        <f t="shared" si="35"/>
        <v>0.05</v>
      </c>
      <c r="J118" s="56">
        <f t="shared" si="35"/>
        <v>0.05</v>
      </c>
      <c r="K118" s="56">
        <f t="shared" si="35"/>
        <v>0.05</v>
      </c>
      <c r="L118" s="56">
        <f t="shared" si="35"/>
        <v>0.05</v>
      </c>
      <c r="M118" s="38"/>
      <c r="N118" s="38"/>
      <c r="O118" s="38"/>
    </row>
    <row r="119" spans="1:15" ht="15" customHeight="1" x14ac:dyDescent="0.25">
      <c r="A119" s="96" t="s">
        <v>187</v>
      </c>
      <c r="B119" s="96"/>
      <c r="C119" s="38"/>
      <c r="D119" s="38"/>
      <c r="E119" s="38"/>
      <c r="F119" s="38"/>
      <c r="G119" s="128">
        <v>0.05</v>
      </c>
      <c r="H119" s="56">
        <f t="shared" si="35"/>
        <v>0.05</v>
      </c>
      <c r="I119" s="56">
        <f t="shared" si="35"/>
        <v>0.05</v>
      </c>
      <c r="J119" s="56">
        <f t="shared" si="35"/>
        <v>0.05</v>
      </c>
      <c r="K119" s="56">
        <f t="shared" si="35"/>
        <v>0.05</v>
      </c>
      <c r="L119" s="56">
        <f t="shared" si="35"/>
        <v>0.05</v>
      </c>
      <c r="M119" s="38"/>
      <c r="N119" s="38"/>
      <c r="O119" s="38"/>
    </row>
    <row r="120" spans="1:15" ht="15" customHeight="1" x14ac:dyDescent="0.25">
      <c r="A120" s="96" t="s">
        <v>188</v>
      </c>
      <c r="B120" s="96"/>
      <c r="C120" s="38"/>
      <c r="D120" s="38"/>
      <c r="E120" s="38"/>
      <c r="F120" s="38"/>
      <c r="G120" s="128">
        <v>0.05</v>
      </c>
      <c r="H120" s="56">
        <f t="shared" si="35"/>
        <v>0.05</v>
      </c>
      <c r="I120" s="56">
        <f t="shared" si="35"/>
        <v>0.05</v>
      </c>
      <c r="J120" s="56">
        <f t="shared" si="35"/>
        <v>0.05</v>
      </c>
      <c r="K120" s="56">
        <f t="shared" si="35"/>
        <v>0.05</v>
      </c>
      <c r="L120" s="56">
        <f t="shared" si="35"/>
        <v>0.05</v>
      </c>
      <c r="M120" s="38"/>
      <c r="N120" s="38"/>
      <c r="O120" s="38"/>
    </row>
    <row r="121" spans="1:15" ht="14.5" x14ac:dyDescent="0.25">
      <c r="A121" s="38"/>
      <c r="B121" s="38"/>
      <c r="C121" s="38"/>
      <c r="D121" s="38"/>
      <c r="E121" s="38"/>
      <c r="F121" s="38"/>
      <c r="G121" s="59"/>
      <c r="H121" s="38"/>
      <c r="I121" s="38"/>
      <c r="J121" s="38"/>
      <c r="K121" s="38"/>
      <c r="L121" s="38"/>
      <c r="M121" s="38"/>
      <c r="N121" s="38"/>
      <c r="O121" s="38"/>
    </row>
    <row r="122" spans="1:15" ht="18" customHeight="1" x14ac:dyDescent="0.25">
      <c r="A122" s="8" t="s">
        <v>189</v>
      </c>
      <c r="B122" s="8"/>
      <c r="C122" s="8"/>
      <c r="D122" s="8"/>
      <c r="E122" s="8"/>
      <c r="F122" s="8"/>
      <c r="G122" s="8"/>
      <c r="H122" s="8"/>
      <c r="I122" s="8"/>
      <c r="J122" s="8"/>
      <c r="K122" s="8"/>
      <c r="L122" s="8"/>
      <c r="M122" s="95"/>
      <c r="N122" s="95"/>
      <c r="O122" s="95"/>
    </row>
    <row r="123" spans="1:15" ht="15" customHeight="1" x14ac:dyDescent="0.25">
      <c r="A123" s="96" t="s">
        <v>190</v>
      </c>
      <c r="B123" s="96"/>
      <c r="C123" s="38"/>
      <c r="D123" s="38"/>
      <c r="E123" s="38"/>
      <c r="F123" s="38"/>
      <c r="G123" s="117">
        <f t="shared" ref="G123:L123" si="36">G102*G109*G3/12</f>
        <v>83.250000000000014</v>
      </c>
      <c r="H123" s="118">
        <f t="shared" si="36"/>
        <v>7208.6625000000013</v>
      </c>
      <c r="I123" s="118">
        <f t="shared" si="36"/>
        <v>31283.31374999999</v>
      </c>
      <c r="J123" s="118">
        <f t="shared" si="36"/>
        <v>92653.917609375014</v>
      </c>
      <c r="K123" s="118">
        <f t="shared" si="36"/>
        <v>227982.43502990506</v>
      </c>
      <c r="L123" s="118">
        <f t="shared" si="36"/>
        <v>493795.62062109198</v>
      </c>
      <c r="M123" s="38"/>
      <c r="N123" s="38"/>
      <c r="O123" s="38"/>
    </row>
    <row r="124" spans="1:15" ht="15" customHeight="1" x14ac:dyDescent="0.25">
      <c r="A124" s="96" t="s">
        <v>191</v>
      </c>
      <c r="B124" s="96"/>
      <c r="C124" s="38"/>
      <c r="D124" s="38"/>
      <c r="E124" s="38"/>
      <c r="F124" s="38"/>
      <c r="G124" s="117">
        <f t="shared" ref="G124:L124" si="37">G103*G110*G3/12</f>
        <v>6.166666666666667</v>
      </c>
      <c r="H124" s="118">
        <f t="shared" si="37"/>
        <v>533.97500000000014</v>
      </c>
      <c r="I124" s="118">
        <f t="shared" si="37"/>
        <v>2317.2825000000003</v>
      </c>
      <c r="J124" s="118">
        <f t="shared" si="37"/>
        <v>6863.253156249998</v>
      </c>
      <c r="K124" s="118">
        <f t="shared" si="37"/>
        <v>16887.587779992966</v>
      </c>
      <c r="L124" s="118">
        <f t="shared" si="37"/>
        <v>36577.45337934015</v>
      </c>
      <c r="M124" s="38"/>
      <c r="N124" s="38"/>
      <c r="O124" s="38"/>
    </row>
    <row r="125" spans="1:15" ht="15" customHeight="1" x14ac:dyDescent="0.25">
      <c r="A125" s="96" t="s">
        <v>192</v>
      </c>
      <c r="B125" s="96"/>
      <c r="C125" s="38"/>
      <c r="D125" s="38"/>
      <c r="E125" s="38"/>
      <c r="F125" s="38"/>
      <c r="G125" s="117">
        <f t="shared" ref="G125:L125" si="38">G104*G111*G3/12</f>
        <v>306.33333333333331</v>
      </c>
      <c r="H125" s="118">
        <f t="shared" si="38"/>
        <v>3095.5</v>
      </c>
      <c r="I125" s="118">
        <f t="shared" si="38"/>
        <v>8154.06</v>
      </c>
      <c r="J125" s="118">
        <f t="shared" si="38"/>
        <v>19889.968774999994</v>
      </c>
      <c r="K125" s="118">
        <f t="shared" si="38"/>
        <v>44712.745794774994</v>
      </c>
      <c r="L125" s="118">
        <f t="shared" si="38"/>
        <v>91749.745410196061</v>
      </c>
      <c r="M125" s="38"/>
      <c r="N125" s="38"/>
      <c r="O125" s="38"/>
    </row>
    <row r="126" spans="1:15" ht="15" customHeight="1" x14ac:dyDescent="0.25">
      <c r="A126" s="96" t="s">
        <v>193</v>
      </c>
      <c r="B126" s="96"/>
      <c r="C126" s="38"/>
      <c r="D126" s="38"/>
      <c r="E126" s="38"/>
      <c r="F126" s="38"/>
      <c r="G126" s="117">
        <f t="shared" ref="G126:L126" si="39">G105*G112*G3/12</f>
        <v>229.75</v>
      </c>
      <c r="H126" s="118">
        <f t="shared" si="39"/>
        <v>2321.625</v>
      </c>
      <c r="I126" s="118">
        <f t="shared" si="39"/>
        <v>6115.545000000001</v>
      </c>
      <c r="J126" s="118">
        <f t="shared" si="39"/>
        <v>14917.476581249995</v>
      </c>
      <c r="K126" s="118">
        <f t="shared" si="39"/>
        <v>33534.559346081238</v>
      </c>
      <c r="L126" s="118">
        <f t="shared" si="39"/>
        <v>68812.309057647042</v>
      </c>
      <c r="M126" s="38"/>
      <c r="N126" s="38"/>
      <c r="O126" s="38"/>
    </row>
    <row r="127" spans="1:15" ht="15" customHeight="1" x14ac:dyDescent="0.25">
      <c r="A127" s="96" t="s">
        <v>194</v>
      </c>
      <c r="B127" s="96"/>
      <c r="C127" s="38"/>
      <c r="D127" s="38"/>
      <c r="E127" s="38"/>
      <c r="F127" s="38"/>
      <c r="G127" s="117">
        <f t="shared" ref="G127:L128" si="40">SUM(G123,G125)</f>
        <v>389.58333333333331</v>
      </c>
      <c r="H127" s="118">
        <f t="shared" si="40"/>
        <v>10304.162500000002</v>
      </c>
      <c r="I127" s="118">
        <f t="shared" si="40"/>
        <v>39437.373749999992</v>
      </c>
      <c r="J127" s="118">
        <f t="shared" si="40"/>
        <v>112543.88638437502</v>
      </c>
      <c r="K127" s="118">
        <f t="shared" si="40"/>
        <v>272695.18082468002</v>
      </c>
      <c r="L127" s="118">
        <f t="shared" si="40"/>
        <v>585545.36603128805</v>
      </c>
      <c r="M127" s="38"/>
      <c r="N127" s="38"/>
      <c r="O127" s="38"/>
    </row>
    <row r="128" spans="1:15" ht="15" customHeight="1" x14ac:dyDescent="0.25">
      <c r="A128" s="96" t="s">
        <v>195</v>
      </c>
      <c r="B128" s="96"/>
      <c r="C128" s="38"/>
      <c r="D128" s="38"/>
      <c r="E128" s="38"/>
      <c r="F128" s="38"/>
      <c r="G128" s="117">
        <f t="shared" si="40"/>
        <v>235.91666666666666</v>
      </c>
      <c r="H128" s="118">
        <f t="shared" si="40"/>
        <v>2855.6000000000004</v>
      </c>
      <c r="I128" s="118">
        <f t="shared" si="40"/>
        <v>8432.8275000000012</v>
      </c>
      <c r="J128" s="118">
        <f t="shared" si="40"/>
        <v>21780.729737499994</v>
      </c>
      <c r="K128" s="118">
        <f t="shared" si="40"/>
        <v>50422.147126074204</v>
      </c>
      <c r="L128" s="118">
        <f t="shared" si="40"/>
        <v>105389.76243698719</v>
      </c>
      <c r="M128" s="38"/>
      <c r="N128" s="38"/>
      <c r="O128" s="38"/>
    </row>
    <row r="129" spans="1:15" ht="15" customHeight="1" x14ac:dyDescent="0.25">
      <c r="A129" s="96" t="s">
        <v>196</v>
      </c>
      <c r="B129" s="96"/>
      <c r="C129" s="38"/>
      <c r="D129" s="38"/>
      <c r="E129" s="38"/>
      <c r="F129" s="38"/>
      <c r="G129" s="117">
        <f t="shared" ref="G129:L129" si="41">SUM(G127:G128)</f>
        <v>625.5</v>
      </c>
      <c r="H129" s="118">
        <f t="shared" si="41"/>
        <v>13159.762500000003</v>
      </c>
      <c r="I129" s="118">
        <f t="shared" si="41"/>
        <v>47870.201249999991</v>
      </c>
      <c r="J129" s="118">
        <f t="shared" si="41"/>
        <v>134324.61612187501</v>
      </c>
      <c r="K129" s="118">
        <f t="shared" si="41"/>
        <v>323117.3279507542</v>
      </c>
      <c r="L129" s="118">
        <f t="shared" si="41"/>
        <v>690935.1284682753</v>
      </c>
      <c r="M129" s="38"/>
      <c r="N129" s="38"/>
      <c r="O129" s="38"/>
    </row>
    <row r="130" spans="1:15" ht="15" customHeight="1" x14ac:dyDescent="0.25">
      <c r="A130" s="96" t="s">
        <v>197</v>
      </c>
      <c r="B130" s="96"/>
      <c r="C130" s="38"/>
      <c r="D130" s="38"/>
      <c r="E130" s="38"/>
      <c r="F130" s="38"/>
      <c r="G130" s="98">
        <f t="shared" ref="G130:L133" si="42">G123*G113</f>
        <v>4162.5000000000009</v>
      </c>
      <c r="H130" s="99">
        <f t="shared" si="42"/>
        <v>360433.12500000006</v>
      </c>
      <c r="I130" s="99">
        <f t="shared" si="42"/>
        <v>1564165.6874999995</v>
      </c>
      <c r="J130" s="99">
        <f t="shared" si="42"/>
        <v>4632695.8804687504</v>
      </c>
      <c r="K130" s="99">
        <f t="shared" si="42"/>
        <v>11399121.751495253</v>
      </c>
      <c r="L130" s="99">
        <f t="shared" si="42"/>
        <v>24689781.031054597</v>
      </c>
      <c r="M130" s="38"/>
      <c r="N130" s="38"/>
      <c r="O130" s="38"/>
    </row>
    <row r="131" spans="1:15" ht="15" customHeight="1" x14ac:dyDescent="0.25">
      <c r="A131" s="96" t="s">
        <v>198</v>
      </c>
      <c r="B131" s="96"/>
      <c r="C131" s="38"/>
      <c r="D131" s="38"/>
      <c r="E131" s="38"/>
      <c r="F131" s="38"/>
      <c r="G131" s="98">
        <f t="shared" si="42"/>
        <v>0</v>
      </c>
      <c r="H131" s="99">
        <f t="shared" si="42"/>
        <v>0</v>
      </c>
      <c r="I131" s="99">
        <f t="shared" si="42"/>
        <v>0</v>
      </c>
      <c r="J131" s="99">
        <f t="shared" si="42"/>
        <v>0</v>
      </c>
      <c r="K131" s="99">
        <f t="shared" si="42"/>
        <v>0</v>
      </c>
      <c r="L131" s="99">
        <f t="shared" si="42"/>
        <v>0</v>
      </c>
      <c r="M131" s="38"/>
      <c r="N131" s="38"/>
      <c r="O131" s="38"/>
    </row>
    <row r="132" spans="1:15" ht="15" customHeight="1" x14ac:dyDescent="0.25">
      <c r="A132" s="96" t="s">
        <v>199</v>
      </c>
      <c r="B132" s="96"/>
      <c r="C132" s="38"/>
      <c r="D132" s="38"/>
      <c r="E132" s="38"/>
      <c r="F132" s="38"/>
      <c r="G132" s="98">
        <f t="shared" si="42"/>
        <v>9190</v>
      </c>
      <c r="H132" s="99">
        <f t="shared" si="42"/>
        <v>92865</v>
      </c>
      <c r="I132" s="99">
        <f t="shared" si="42"/>
        <v>244621.80000000002</v>
      </c>
      <c r="J132" s="99">
        <f t="shared" si="42"/>
        <v>596699.06324999977</v>
      </c>
      <c r="K132" s="99">
        <f t="shared" si="42"/>
        <v>1341382.3738432499</v>
      </c>
      <c r="L132" s="99">
        <f t="shared" si="42"/>
        <v>2752492.3623058819</v>
      </c>
      <c r="M132" s="38"/>
      <c r="N132" s="38"/>
      <c r="O132" s="38"/>
    </row>
    <row r="133" spans="1:15" ht="15" customHeight="1" x14ac:dyDescent="0.25">
      <c r="A133" s="124" t="s">
        <v>200</v>
      </c>
      <c r="B133" s="124"/>
      <c r="C133" s="125"/>
      <c r="D133" s="125"/>
      <c r="E133" s="125"/>
      <c r="F133" s="125"/>
      <c r="G133" s="140">
        <f t="shared" si="42"/>
        <v>0</v>
      </c>
      <c r="H133" s="141">
        <f t="shared" si="42"/>
        <v>0</v>
      </c>
      <c r="I133" s="141">
        <f t="shared" si="42"/>
        <v>0</v>
      </c>
      <c r="J133" s="141">
        <f t="shared" si="42"/>
        <v>0</v>
      </c>
      <c r="K133" s="141">
        <f t="shared" si="42"/>
        <v>0</v>
      </c>
      <c r="L133" s="141">
        <f t="shared" si="42"/>
        <v>0</v>
      </c>
      <c r="M133" s="38"/>
      <c r="N133" s="38"/>
      <c r="O133" s="38"/>
    </row>
    <row r="134" spans="1:15" ht="15" customHeight="1" x14ac:dyDescent="0.25">
      <c r="A134" s="97" t="s">
        <v>201</v>
      </c>
      <c r="B134" s="97"/>
      <c r="C134" s="131">
        <v>6080</v>
      </c>
      <c r="D134" s="131">
        <v>1695.71</v>
      </c>
      <c r="E134" s="131">
        <v>17968.38</v>
      </c>
      <c r="F134" s="131">
        <v>10243</v>
      </c>
      <c r="G134" s="98">
        <f t="shared" ref="G134:L134" si="43">SUM(G130:G133)</f>
        <v>13352.5</v>
      </c>
      <c r="H134" s="99">
        <f t="shared" si="43"/>
        <v>453298.12500000006</v>
      </c>
      <c r="I134" s="99">
        <f t="shared" si="43"/>
        <v>1808787.4874999996</v>
      </c>
      <c r="J134" s="99">
        <f t="shared" si="43"/>
        <v>5229394.94371875</v>
      </c>
      <c r="K134" s="99">
        <f t="shared" si="43"/>
        <v>12740504.125338502</v>
      </c>
      <c r="L134" s="99">
        <f t="shared" si="43"/>
        <v>27442273.393360481</v>
      </c>
      <c r="M134" s="38"/>
      <c r="N134" s="38"/>
      <c r="O134" s="38"/>
    </row>
    <row r="135" spans="1:15" ht="15" customHeight="1" x14ac:dyDescent="0.25">
      <c r="A135" s="96" t="s">
        <v>86</v>
      </c>
      <c r="B135" s="96"/>
      <c r="C135" s="38"/>
      <c r="D135" s="38"/>
      <c r="E135" s="38"/>
      <c r="F135" s="38"/>
      <c r="G135" s="98">
        <f t="shared" ref="G135:L135" si="44">G87*G92*G3+G88*G93*G3</f>
        <v>370</v>
      </c>
      <c r="H135" s="99">
        <f t="shared" si="44"/>
        <v>32038.5</v>
      </c>
      <c r="I135" s="99">
        <f t="shared" si="44"/>
        <v>139036.94999999998</v>
      </c>
      <c r="J135" s="99">
        <f t="shared" si="44"/>
        <v>411795.18937499996</v>
      </c>
      <c r="K135" s="99">
        <f t="shared" si="44"/>
        <v>1013255.2667995779</v>
      </c>
      <c r="L135" s="99">
        <f t="shared" si="44"/>
        <v>2194647.2027604091</v>
      </c>
      <c r="M135" s="38"/>
      <c r="N135" s="38"/>
      <c r="O135" s="38"/>
    </row>
    <row r="136" spans="1:15" ht="15" customHeight="1" x14ac:dyDescent="0.25">
      <c r="A136" s="96" t="s">
        <v>87</v>
      </c>
      <c r="B136" s="96"/>
      <c r="C136" s="38"/>
      <c r="D136" s="38"/>
      <c r="E136" s="38"/>
      <c r="F136" s="38"/>
      <c r="G136" s="98">
        <f t="shared" ref="G136:L136" si="45">SUM(G130*G117,G131*G118,G132*G119,G133*G120)</f>
        <v>667.625</v>
      </c>
      <c r="H136" s="99">
        <f t="shared" si="45"/>
        <v>22664.906250000004</v>
      </c>
      <c r="I136" s="99">
        <f t="shared" si="45"/>
        <v>90439.37437499997</v>
      </c>
      <c r="J136" s="99">
        <f t="shared" si="45"/>
        <v>261469.74718593754</v>
      </c>
      <c r="K136" s="99">
        <f t="shared" si="45"/>
        <v>637025.20626692509</v>
      </c>
      <c r="L136" s="99">
        <f t="shared" si="45"/>
        <v>1372113.6696680239</v>
      </c>
      <c r="M136" s="38"/>
      <c r="N136" s="38"/>
      <c r="O136" s="38"/>
    </row>
    <row r="137" spans="1:15" ht="15" customHeight="1" x14ac:dyDescent="0.25">
      <c r="A137" s="100" t="s">
        <v>88</v>
      </c>
      <c r="B137" s="100"/>
      <c r="C137" s="137"/>
      <c r="D137" s="137"/>
      <c r="E137" s="137"/>
      <c r="F137" s="137"/>
      <c r="G137" s="102">
        <f t="shared" ref="G137:L137" si="46">SUM(G135:G136)</f>
        <v>1037.625</v>
      </c>
      <c r="H137" s="103">
        <f t="shared" si="46"/>
        <v>54703.40625</v>
      </c>
      <c r="I137" s="103">
        <f t="shared" si="46"/>
        <v>229476.32437499997</v>
      </c>
      <c r="J137" s="103">
        <f t="shared" si="46"/>
        <v>673264.93656093744</v>
      </c>
      <c r="K137" s="103">
        <f t="shared" si="46"/>
        <v>1650280.4730665029</v>
      </c>
      <c r="L137" s="103">
        <f t="shared" si="46"/>
        <v>3566760.872428433</v>
      </c>
      <c r="M137" s="38"/>
      <c r="N137" s="38"/>
      <c r="O137" s="38"/>
    </row>
    <row r="138" spans="1:15" ht="14.5" x14ac:dyDescent="0.25">
      <c r="A138" s="38"/>
      <c r="B138" s="38"/>
      <c r="C138" s="38"/>
      <c r="D138" s="38"/>
      <c r="E138" s="38"/>
      <c r="F138" s="38"/>
      <c r="G138" s="59"/>
      <c r="H138" s="38"/>
      <c r="I138" s="38"/>
      <c r="J138" s="38"/>
      <c r="K138" s="38"/>
      <c r="L138" s="38"/>
      <c r="M138" s="38"/>
      <c r="N138" s="38"/>
      <c r="O138" s="38"/>
    </row>
    <row r="139" spans="1:15" ht="18" customHeight="1" x14ac:dyDescent="0.25">
      <c r="A139" s="8" t="s">
        <v>202</v>
      </c>
      <c r="B139" s="8"/>
      <c r="C139" s="8"/>
      <c r="D139" s="8"/>
      <c r="E139" s="8"/>
      <c r="F139" s="8"/>
      <c r="G139" s="8"/>
      <c r="H139" s="8"/>
      <c r="I139" s="8"/>
      <c r="J139" s="8"/>
      <c r="K139" s="8"/>
      <c r="L139" s="8"/>
      <c r="M139" s="95"/>
      <c r="N139" s="95"/>
      <c r="O139" s="95"/>
    </row>
    <row r="140" spans="1:15" ht="15" customHeight="1" x14ac:dyDescent="0.25">
      <c r="A140" s="96" t="s">
        <v>203</v>
      </c>
      <c r="B140" s="96"/>
      <c r="C140" s="38"/>
      <c r="D140" s="38"/>
      <c r="E140" s="38"/>
      <c r="F140" s="38"/>
      <c r="G140" s="142">
        <f>Expenses_Y!G33+Expenses_Y!G46</f>
        <v>38333.333333333336</v>
      </c>
      <c r="H140" s="110">
        <f>Expenses_Y!H33+Expenses_Y!H46</f>
        <v>110000</v>
      </c>
      <c r="I140" s="110">
        <f>Expenses_Y!I33+Expenses_Y!I46</f>
        <v>121000.00000000001</v>
      </c>
      <c r="J140" s="110">
        <f>Expenses_Y!J33+Expenses_Y!J46</f>
        <v>133100.00000000003</v>
      </c>
      <c r="K140" s="110">
        <f>Expenses_Y!K33+Expenses_Y!K46</f>
        <v>146410.00000000003</v>
      </c>
      <c r="L140" s="110">
        <f>Expenses_Y!L33+Expenses_Y!L46</f>
        <v>161051.00000000003</v>
      </c>
      <c r="M140" s="38"/>
      <c r="N140" s="38"/>
      <c r="O140" s="38"/>
    </row>
    <row r="141" spans="1:15" ht="15" customHeight="1" x14ac:dyDescent="0.25">
      <c r="A141" s="96" t="s">
        <v>204</v>
      </c>
      <c r="B141" s="96"/>
      <c r="C141" s="38"/>
      <c r="D141" s="38"/>
      <c r="E141" s="38"/>
      <c r="F141" s="38"/>
      <c r="G141" s="98">
        <f t="shared" ref="G141:L141" si="47">SUM(G32,G38)</f>
        <v>0</v>
      </c>
      <c r="H141" s="99">
        <f t="shared" si="47"/>
        <v>0</v>
      </c>
      <c r="I141" s="99">
        <f t="shared" si="47"/>
        <v>0</v>
      </c>
      <c r="J141" s="99">
        <f t="shared" si="47"/>
        <v>0</v>
      </c>
      <c r="K141" s="99">
        <f t="shared" si="47"/>
        <v>0</v>
      </c>
      <c r="L141" s="99">
        <f t="shared" si="47"/>
        <v>0</v>
      </c>
      <c r="M141" s="38"/>
      <c r="N141" s="38"/>
      <c r="O141" s="38"/>
    </row>
    <row r="142" spans="1:15" ht="15" customHeight="1" x14ac:dyDescent="0.25">
      <c r="A142" s="96" t="s">
        <v>205</v>
      </c>
      <c r="B142" s="96"/>
      <c r="C142" s="38"/>
      <c r="D142" s="38"/>
      <c r="E142" s="38"/>
      <c r="F142" s="38"/>
      <c r="G142" s="98">
        <f t="shared" ref="G142:L142" si="48">SUM(G46,G49)</f>
        <v>0</v>
      </c>
      <c r="H142" s="99">
        <f t="shared" si="48"/>
        <v>10000</v>
      </c>
      <c r="I142" s="99">
        <f t="shared" si="48"/>
        <v>15000</v>
      </c>
      <c r="J142" s="99">
        <f t="shared" si="48"/>
        <v>0</v>
      </c>
      <c r="K142" s="99">
        <f t="shared" si="48"/>
        <v>0</v>
      </c>
      <c r="L142" s="99">
        <f t="shared" si="48"/>
        <v>0</v>
      </c>
      <c r="M142" s="38"/>
      <c r="N142" s="38"/>
      <c r="O142" s="38"/>
    </row>
    <row r="143" spans="1:15" ht="15" customHeight="1" x14ac:dyDescent="0.25">
      <c r="A143" s="100" t="s">
        <v>206</v>
      </c>
      <c r="B143" s="100"/>
      <c r="C143" s="137"/>
      <c r="D143" s="137"/>
      <c r="E143" s="137"/>
      <c r="F143" s="137"/>
      <c r="G143" s="102">
        <f t="shared" ref="G143:L143" si="49">SUM(G140:G142)</f>
        <v>38333.333333333336</v>
      </c>
      <c r="H143" s="103">
        <f t="shared" si="49"/>
        <v>120000</v>
      </c>
      <c r="I143" s="103">
        <f t="shared" si="49"/>
        <v>136000</v>
      </c>
      <c r="J143" s="103">
        <f t="shared" si="49"/>
        <v>133100.00000000003</v>
      </c>
      <c r="K143" s="103">
        <f t="shared" si="49"/>
        <v>146410.00000000003</v>
      </c>
      <c r="L143" s="103">
        <f t="shared" si="49"/>
        <v>161051.00000000003</v>
      </c>
      <c r="M143" s="38"/>
      <c r="N143" s="38"/>
      <c r="O143" s="38"/>
    </row>
    <row r="144" spans="1:15" ht="15" customHeight="1" x14ac:dyDescent="0.25">
      <c r="A144" s="124" t="s">
        <v>207</v>
      </c>
      <c r="B144" s="124"/>
      <c r="C144" s="125"/>
      <c r="D144" s="125"/>
      <c r="E144" s="125"/>
      <c r="F144" s="125"/>
      <c r="G144" s="143">
        <f t="shared" ref="G144:L144" si="50">IF(OR(G55="",G55=0,G143=""),"",G143/G55)</f>
        <v>207.20720720720723</v>
      </c>
      <c r="H144" s="144">
        <f t="shared" si="50"/>
        <v>312.5</v>
      </c>
      <c r="I144" s="144">
        <f t="shared" si="50"/>
        <v>335.47113961519477</v>
      </c>
      <c r="J144" s="144">
        <f t="shared" si="50"/>
        <v>317.32786572572957</v>
      </c>
      <c r="K144" s="144">
        <f t="shared" si="50"/>
        <v>324.3579745848325</v>
      </c>
      <c r="L144" s="144">
        <f t="shared" si="50"/>
        <v>331.02484078842002</v>
      </c>
      <c r="M144" s="38"/>
      <c r="N144" s="38"/>
      <c r="O144" s="38"/>
    </row>
    <row r="145" spans="1:15" ht="14.5" x14ac:dyDescent="0.25">
      <c r="A145" s="38"/>
      <c r="B145" s="38"/>
      <c r="C145" s="38"/>
      <c r="D145" s="38"/>
      <c r="E145" s="38"/>
      <c r="F145" s="38"/>
      <c r="G145" s="38"/>
      <c r="H145" s="38"/>
      <c r="I145" s="38"/>
      <c r="J145" s="38"/>
      <c r="K145" s="38"/>
      <c r="L145" s="38"/>
      <c r="M145" s="38"/>
      <c r="N145" s="38"/>
      <c r="O145" s="38"/>
    </row>
    <row r="146" spans="1:15" ht="57.75" customHeight="1" x14ac:dyDescent="0.25">
      <c r="A146" s="6" t="s">
        <v>208</v>
      </c>
      <c r="B146" s="6"/>
      <c r="C146" s="6"/>
      <c r="D146" s="6"/>
      <c r="E146" s="6"/>
      <c r="F146" s="6"/>
      <c r="G146" s="6"/>
      <c r="H146" s="6"/>
      <c r="I146" s="6"/>
      <c r="J146" s="6"/>
      <c r="K146" s="6"/>
      <c r="L146" s="6"/>
      <c r="M146" s="145"/>
      <c r="N146" s="145"/>
      <c r="O146" s="145"/>
    </row>
  </sheetData>
  <mergeCells count="15">
    <mergeCell ref="A101:L101"/>
    <mergeCell ref="A108:L108"/>
    <mergeCell ref="A122:L122"/>
    <mergeCell ref="A139:L139"/>
    <mergeCell ref="A146:L146"/>
    <mergeCell ref="A45:L45"/>
    <mergeCell ref="A54:L54"/>
    <mergeCell ref="A60:L60"/>
    <mergeCell ref="A75:L75"/>
    <mergeCell ref="A91:L91"/>
    <mergeCell ref="A5:L5"/>
    <mergeCell ref="A7:L7"/>
    <mergeCell ref="A13:L13"/>
    <mergeCell ref="A14:L14"/>
    <mergeCell ref="A28:L28"/>
  </mergeCells>
  <dataValidations count="1">
    <dataValidation type="decimal" showErrorMessage="1" errorTitle="Out of range" error="Enter a value between 0.1 and 2.0 (in 0.1 increments)." sqref="G62" xr:uid="{00000000-0002-0000-0200-000000000000}">
      <formula1>0.1</formula1>
      <formula2>2</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7"/>
  <sheetViews>
    <sheetView showGridLines="0" zoomScale="70" zoomScaleNormal="70" workbookViewId="0">
      <selection activeCell="O22" sqref="O22"/>
    </sheetView>
  </sheetViews>
  <sheetFormatPr defaultColWidth="8.6328125" defaultRowHeight="12.5" x14ac:dyDescent="0.25"/>
  <cols>
    <col min="1" max="1" width="48" customWidth="1"/>
    <col min="2" max="2" width="3" customWidth="1"/>
    <col min="3" max="12" width="13" customWidth="1"/>
  </cols>
  <sheetData>
    <row r="1" spans="1:12" ht="18" customHeight="1" x14ac:dyDescent="0.25">
      <c r="A1" s="14" t="s">
        <v>209</v>
      </c>
      <c r="B1" s="14"/>
      <c r="C1" s="14"/>
      <c r="D1" s="14"/>
      <c r="E1" s="14"/>
      <c r="F1" s="14"/>
      <c r="G1" s="14"/>
      <c r="H1" s="14"/>
      <c r="I1" s="14"/>
      <c r="J1" s="14"/>
      <c r="K1" s="14"/>
      <c r="L1" s="14"/>
    </row>
    <row r="2" spans="1:12" ht="15" customHeight="1" x14ac:dyDescent="0.25">
      <c r="A2" s="5" t="s">
        <v>210</v>
      </c>
      <c r="B2" s="5"/>
      <c r="C2" s="5"/>
      <c r="D2" s="5"/>
      <c r="E2" s="5"/>
      <c r="F2" s="5"/>
      <c r="G2" s="5"/>
      <c r="H2" s="5"/>
      <c r="I2" s="5"/>
      <c r="J2" s="5"/>
      <c r="K2" s="5"/>
      <c r="L2" s="5"/>
    </row>
    <row r="3" spans="1:12" ht="14.5" x14ac:dyDescent="0.25">
      <c r="A3" s="38"/>
      <c r="B3" s="38"/>
      <c r="C3" s="38"/>
      <c r="D3" s="38"/>
      <c r="E3" s="38"/>
      <c r="F3" s="38"/>
      <c r="G3" s="38"/>
      <c r="H3" s="38"/>
      <c r="I3" s="38"/>
      <c r="J3" s="38"/>
      <c r="K3" s="38"/>
      <c r="L3" s="38"/>
    </row>
    <row r="4" spans="1:12" ht="15" customHeight="1" x14ac:dyDescent="0.25">
      <c r="A4" s="97" t="s">
        <v>0</v>
      </c>
      <c r="B4" s="38"/>
      <c r="C4" s="97" t="s">
        <v>1</v>
      </c>
      <c r="D4" s="97" t="s">
        <v>2</v>
      </c>
      <c r="E4" s="97" t="s">
        <v>3</v>
      </c>
      <c r="F4" s="97" t="s">
        <v>4</v>
      </c>
      <c r="G4" s="146" t="s">
        <v>5</v>
      </c>
      <c r="H4" s="97" t="s">
        <v>6</v>
      </c>
      <c r="I4" s="97" t="s">
        <v>7</v>
      </c>
      <c r="J4" s="97" t="s">
        <v>8</v>
      </c>
      <c r="K4" s="97" t="s">
        <v>9</v>
      </c>
      <c r="L4" s="97" t="s">
        <v>10</v>
      </c>
    </row>
    <row r="5" spans="1:12" ht="15" customHeight="1" x14ac:dyDescent="0.25">
      <c r="A5" s="24" t="s">
        <v>11</v>
      </c>
      <c r="B5" s="38"/>
      <c r="C5" s="92" t="s">
        <v>12</v>
      </c>
      <c r="D5" s="92" t="s">
        <v>12</v>
      </c>
      <c r="E5" s="92" t="s">
        <v>12</v>
      </c>
      <c r="F5" s="92" t="s">
        <v>12</v>
      </c>
      <c r="G5" s="93" t="s">
        <v>14</v>
      </c>
      <c r="H5" s="94" t="s">
        <v>14</v>
      </c>
      <c r="I5" s="94" t="s">
        <v>14</v>
      </c>
      <c r="J5" s="94" t="s">
        <v>14</v>
      </c>
      <c r="K5" s="94" t="s">
        <v>14</v>
      </c>
      <c r="L5" s="94" t="s">
        <v>14</v>
      </c>
    </row>
    <row r="6" spans="1:12" ht="15" customHeight="1" x14ac:dyDescent="0.25">
      <c r="A6" s="24" t="s">
        <v>211</v>
      </c>
      <c r="B6" s="38"/>
      <c r="C6" s="25">
        <v>12</v>
      </c>
      <c r="D6" s="25">
        <v>12</v>
      </c>
      <c r="E6" s="25">
        <v>12</v>
      </c>
      <c r="F6" s="25">
        <v>8</v>
      </c>
      <c r="G6" s="147">
        <v>4</v>
      </c>
      <c r="H6" s="27">
        <v>12</v>
      </c>
      <c r="I6" s="27">
        <v>12</v>
      </c>
      <c r="J6" s="27">
        <v>12</v>
      </c>
      <c r="K6" s="27">
        <v>12</v>
      </c>
      <c r="L6" s="27">
        <v>12</v>
      </c>
    </row>
    <row r="7" spans="1:12" ht="14.5" x14ac:dyDescent="0.25">
      <c r="A7" s="38"/>
      <c r="B7" s="38"/>
      <c r="C7" s="38"/>
      <c r="D7" s="38"/>
      <c r="E7" s="38"/>
      <c r="F7" s="38"/>
      <c r="G7" s="59"/>
      <c r="H7" s="38"/>
      <c r="I7" s="38"/>
      <c r="J7" s="38"/>
      <c r="K7" s="38"/>
      <c r="L7" s="38"/>
    </row>
    <row r="8" spans="1:12" ht="18" customHeight="1" x14ac:dyDescent="0.25">
      <c r="A8" s="14" t="s">
        <v>212</v>
      </c>
      <c r="B8" s="14"/>
      <c r="C8" s="14"/>
      <c r="D8" s="14"/>
      <c r="E8" s="14"/>
      <c r="F8" s="14"/>
      <c r="G8" s="14"/>
      <c r="H8" s="14"/>
      <c r="I8" s="14"/>
      <c r="J8" s="14"/>
      <c r="K8" s="14"/>
      <c r="L8" s="14"/>
    </row>
    <row r="9" spans="1:12" ht="15" customHeight="1" x14ac:dyDescent="0.25">
      <c r="A9" s="148" t="s">
        <v>35</v>
      </c>
      <c r="B9" s="38"/>
      <c r="C9" s="149">
        <f t="shared" ref="C9:L9" si="0">C37</f>
        <v>0</v>
      </c>
      <c r="D9" s="149">
        <f t="shared" si="0"/>
        <v>0</v>
      </c>
      <c r="E9" s="149">
        <f t="shared" si="0"/>
        <v>0</v>
      </c>
      <c r="F9" s="149">
        <f t="shared" si="0"/>
        <v>0</v>
      </c>
      <c r="G9" s="150">
        <f t="shared" si="0"/>
        <v>33333.333333333336</v>
      </c>
      <c r="H9" s="149">
        <f t="shared" si="0"/>
        <v>210000</v>
      </c>
      <c r="I9" s="149">
        <f t="shared" si="0"/>
        <v>371000</v>
      </c>
      <c r="J9" s="149">
        <f t="shared" si="0"/>
        <v>833100</v>
      </c>
      <c r="K9" s="149">
        <f t="shared" si="0"/>
        <v>1046410</v>
      </c>
      <c r="L9" s="149">
        <f t="shared" si="0"/>
        <v>1061051</v>
      </c>
    </row>
    <row r="10" spans="1:12" ht="15" customHeight="1" x14ac:dyDescent="0.25">
      <c r="A10" s="148" t="s">
        <v>36</v>
      </c>
      <c r="B10" s="38"/>
      <c r="C10" s="149">
        <f t="shared" ref="C10:L10" si="1">C43</f>
        <v>2128</v>
      </c>
      <c r="D10" s="149">
        <f t="shared" si="1"/>
        <v>2128</v>
      </c>
      <c r="E10" s="149">
        <f t="shared" si="1"/>
        <v>2128</v>
      </c>
      <c r="F10" s="149">
        <f t="shared" si="1"/>
        <v>528</v>
      </c>
      <c r="G10" s="150">
        <f t="shared" si="1"/>
        <v>0</v>
      </c>
      <c r="H10" s="149">
        <f t="shared" si="1"/>
        <v>0</v>
      </c>
      <c r="I10" s="149">
        <f t="shared" si="1"/>
        <v>0</v>
      </c>
      <c r="J10" s="149">
        <f t="shared" si="1"/>
        <v>0</v>
      </c>
      <c r="K10" s="149">
        <f t="shared" si="1"/>
        <v>0</v>
      </c>
      <c r="L10" s="149">
        <f t="shared" si="1"/>
        <v>0</v>
      </c>
    </row>
    <row r="11" spans="1:12" ht="15" customHeight="1" x14ac:dyDescent="0.25">
      <c r="A11" s="148" t="s">
        <v>37</v>
      </c>
      <c r="B11" s="38"/>
      <c r="C11" s="149">
        <f t="shared" ref="C11:L11" si="2">C51</f>
        <v>0</v>
      </c>
      <c r="D11" s="149">
        <f t="shared" si="2"/>
        <v>0</v>
      </c>
      <c r="E11" s="149">
        <f t="shared" si="2"/>
        <v>0</v>
      </c>
      <c r="F11" s="149">
        <f t="shared" si="2"/>
        <v>0</v>
      </c>
      <c r="G11" s="150">
        <f t="shared" si="2"/>
        <v>5000</v>
      </c>
      <c r="H11" s="149">
        <f t="shared" si="2"/>
        <v>10000</v>
      </c>
      <c r="I11" s="149">
        <f t="shared" si="2"/>
        <v>15000</v>
      </c>
      <c r="J11" s="149">
        <f t="shared" si="2"/>
        <v>20000</v>
      </c>
      <c r="K11" s="149">
        <f t="shared" si="2"/>
        <v>25000</v>
      </c>
      <c r="L11" s="149">
        <f t="shared" si="2"/>
        <v>0</v>
      </c>
    </row>
    <row r="12" spans="1:12" ht="15" customHeight="1" x14ac:dyDescent="0.25">
      <c r="A12" s="148" t="s">
        <v>38</v>
      </c>
      <c r="B12" s="38"/>
      <c r="C12" s="149">
        <f t="shared" ref="C12:L12" si="3">C59</f>
        <v>500</v>
      </c>
      <c r="D12" s="149">
        <f t="shared" si="3"/>
        <v>500</v>
      </c>
      <c r="E12" s="149">
        <f t="shared" si="3"/>
        <v>500</v>
      </c>
      <c r="F12" s="149">
        <f t="shared" si="3"/>
        <v>0</v>
      </c>
      <c r="G12" s="150">
        <f t="shared" si="3"/>
        <v>0</v>
      </c>
      <c r="H12" s="149">
        <f t="shared" si="3"/>
        <v>0</v>
      </c>
      <c r="I12" s="149">
        <f t="shared" si="3"/>
        <v>0</v>
      </c>
      <c r="J12" s="149">
        <f t="shared" si="3"/>
        <v>0</v>
      </c>
      <c r="K12" s="149">
        <f t="shared" si="3"/>
        <v>0</v>
      </c>
      <c r="L12" s="149">
        <f t="shared" si="3"/>
        <v>0</v>
      </c>
    </row>
    <row r="13" spans="1:12" ht="15" customHeight="1" x14ac:dyDescent="0.25">
      <c r="A13" s="148" t="s">
        <v>32</v>
      </c>
      <c r="B13" s="38"/>
      <c r="C13" s="149">
        <f t="shared" ref="C13:L13" si="4">C65</f>
        <v>0</v>
      </c>
      <c r="D13" s="149">
        <f t="shared" si="4"/>
        <v>0</v>
      </c>
      <c r="E13" s="149">
        <f t="shared" si="4"/>
        <v>0</v>
      </c>
      <c r="F13" s="149">
        <f t="shared" si="4"/>
        <v>0</v>
      </c>
      <c r="G13" s="150">
        <f t="shared" si="4"/>
        <v>0</v>
      </c>
      <c r="H13" s="149">
        <f t="shared" si="4"/>
        <v>0</v>
      </c>
      <c r="I13" s="149">
        <f t="shared" si="4"/>
        <v>0</v>
      </c>
      <c r="J13" s="149">
        <f t="shared" si="4"/>
        <v>0</v>
      </c>
      <c r="K13" s="149">
        <f t="shared" si="4"/>
        <v>0</v>
      </c>
      <c r="L13" s="149">
        <f t="shared" si="4"/>
        <v>0</v>
      </c>
    </row>
    <row r="14" spans="1:12" ht="15" customHeight="1" x14ac:dyDescent="0.25">
      <c r="A14" s="151" t="s">
        <v>213</v>
      </c>
      <c r="B14" s="137"/>
      <c r="C14" s="152">
        <f t="shared" ref="C14:L14" si="5">SUM(C9:C13)</f>
        <v>2628</v>
      </c>
      <c r="D14" s="152">
        <f t="shared" si="5"/>
        <v>2628</v>
      </c>
      <c r="E14" s="152">
        <f t="shared" si="5"/>
        <v>2628</v>
      </c>
      <c r="F14" s="152">
        <f t="shared" si="5"/>
        <v>528</v>
      </c>
      <c r="G14" s="153">
        <f t="shared" si="5"/>
        <v>38333.333333333336</v>
      </c>
      <c r="H14" s="152">
        <f t="shared" si="5"/>
        <v>220000</v>
      </c>
      <c r="I14" s="152">
        <f t="shared" si="5"/>
        <v>386000</v>
      </c>
      <c r="J14" s="152">
        <f t="shared" si="5"/>
        <v>853100</v>
      </c>
      <c r="K14" s="152">
        <f t="shared" si="5"/>
        <v>1071410</v>
      </c>
      <c r="L14" s="152">
        <f t="shared" si="5"/>
        <v>1061051</v>
      </c>
    </row>
    <row r="15" spans="1:12" ht="15" customHeight="1" x14ac:dyDescent="0.25">
      <c r="A15" s="148" t="s">
        <v>214</v>
      </c>
      <c r="B15" s="38"/>
      <c r="C15" s="38"/>
      <c r="D15" s="154">
        <f>IF(OR(C14="",C14=0,D14=""),"",D14/C14-1)</f>
        <v>0</v>
      </c>
      <c r="E15" s="154">
        <f>IF(OR(D14="",D14=0,E14=""),"",E14/D14-1)</f>
        <v>0</v>
      </c>
      <c r="F15" s="38"/>
      <c r="G15" s="59"/>
      <c r="H15" s="38"/>
      <c r="I15" s="154">
        <f>IF(OR(I14="",H14="",H14=0),"",I14/H14-1)</f>
        <v>0.75454545454545463</v>
      </c>
      <c r="J15" s="154">
        <f>IF(OR(J14="",I14="",I14=0),"",J14/I14-1)</f>
        <v>1.2101036269430052</v>
      </c>
      <c r="K15" s="154">
        <f>IF(OR(K14="",J14="",J14=0),"",K14/J14-1)</f>
        <v>0.25590200445434297</v>
      </c>
      <c r="L15" s="154">
        <f>IF(OR(L14="",K14="",K14=0),"",L14/K14-1)</f>
        <v>-9.6685675885048727E-3</v>
      </c>
    </row>
    <row r="16" spans="1:12" ht="14.5" x14ac:dyDescent="0.25">
      <c r="A16" s="38"/>
      <c r="B16" s="38"/>
      <c r="C16" s="38"/>
      <c r="D16" s="38"/>
      <c r="E16" s="38"/>
      <c r="F16" s="38"/>
      <c r="G16" s="59"/>
      <c r="H16" s="38"/>
      <c r="I16" s="38"/>
      <c r="J16" s="38"/>
      <c r="K16" s="38"/>
      <c r="L16" s="38"/>
    </row>
    <row r="17" spans="1:12" ht="18" customHeight="1" x14ac:dyDescent="0.25">
      <c r="A17" s="14" t="s">
        <v>215</v>
      </c>
      <c r="B17" s="14"/>
      <c r="C17" s="14"/>
      <c r="D17" s="14"/>
      <c r="E17" s="14"/>
      <c r="F17" s="14"/>
      <c r="G17" s="14"/>
      <c r="H17" s="14"/>
      <c r="I17" s="14"/>
      <c r="J17" s="14"/>
      <c r="K17" s="14"/>
      <c r="L17" s="14"/>
    </row>
    <row r="18" spans="1:12" ht="15" customHeight="1" x14ac:dyDescent="0.25">
      <c r="A18" s="96" t="s">
        <v>216</v>
      </c>
      <c r="B18" s="38"/>
      <c r="C18" s="121">
        <v>0</v>
      </c>
      <c r="D18" s="121">
        <v>0</v>
      </c>
      <c r="E18" s="121">
        <v>0</v>
      </c>
      <c r="F18" s="121">
        <v>0</v>
      </c>
      <c r="G18" s="120">
        <v>0</v>
      </c>
      <c r="H18" s="121">
        <v>1</v>
      </c>
      <c r="I18" s="155">
        <f t="shared" ref="I18:L19" si="6">H18</f>
        <v>1</v>
      </c>
      <c r="J18" s="155">
        <f t="shared" si="6"/>
        <v>1</v>
      </c>
      <c r="K18" s="155">
        <f t="shared" si="6"/>
        <v>1</v>
      </c>
      <c r="L18" s="155">
        <f t="shared" si="6"/>
        <v>1</v>
      </c>
    </row>
    <row r="19" spans="1:12" ht="15" customHeight="1" x14ac:dyDescent="0.25">
      <c r="A19" s="96" t="s">
        <v>217</v>
      </c>
      <c r="B19" s="38"/>
      <c r="C19" s="131">
        <v>0</v>
      </c>
      <c r="D19" s="131">
        <v>0</v>
      </c>
      <c r="E19" s="131">
        <v>0</v>
      </c>
      <c r="F19" s="131">
        <v>0</v>
      </c>
      <c r="G19" s="130">
        <v>0</v>
      </c>
      <c r="H19" s="131">
        <v>100000</v>
      </c>
      <c r="I19" s="112">
        <f t="shared" si="6"/>
        <v>100000</v>
      </c>
      <c r="J19" s="112">
        <f t="shared" si="6"/>
        <v>100000</v>
      </c>
      <c r="K19" s="112">
        <f t="shared" si="6"/>
        <v>100000</v>
      </c>
      <c r="L19" s="112">
        <f t="shared" si="6"/>
        <v>100000</v>
      </c>
    </row>
    <row r="20" spans="1:12" ht="15" customHeight="1" x14ac:dyDescent="0.25">
      <c r="A20" s="96" t="s">
        <v>218</v>
      </c>
      <c r="B20" s="38"/>
      <c r="C20" s="99">
        <f t="shared" ref="C20:L20" si="7">IF(OR(C18="",C19=""),"",C18*C19*C$6/12)</f>
        <v>0</v>
      </c>
      <c r="D20" s="99">
        <f t="shared" si="7"/>
        <v>0</v>
      </c>
      <c r="E20" s="99">
        <f t="shared" si="7"/>
        <v>0</v>
      </c>
      <c r="F20" s="99">
        <f t="shared" si="7"/>
        <v>0</v>
      </c>
      <c r="G20" s="142">
        <f t="shared" si="7"/>
        <v>0</v>
      </c>
      <c r="H20" s="110">
        <f t="shared" si="7"/>
        <v>100000</v>
      </c>
      <c r="I20" s="110">
        <f t="shared" si="7"/>
        <v>100000</v>
      </c>
      <c r="J20" s="110">
        <f t="shared" si="7"/>
        <v>100000</v>
      </c>
      <c r="K20" s="110">
        <f t="shared" si="7"/>
        <v>100000</v>
      </c>
      <c r="L20" s="110">
        <f t="shared" si="7"/>
        <v>100000</v>
      </c>
    </row>
    <row r="21" spans="1:12" ht="15" customHeight="1" x14ac:dyDescent="0.25">
      <c r="A21" s="96" t="s">
        <v>219</v>
      </c>
      <c r="B21" s="38"/>
      <c r="C21" s="121">
        <v>0</v>
      </c>
      <c r="D21" s="121">
        <v>0</v>
      </c>
      <c r="E21" s="121">
        <v>0</v>
      </c>
      <c r="F21" s="121">
        <v>0</v>
      </c>
      <c r="G21" s="120">
        <v>0</v>
      </c>
      <c r="H21" s="121">
        <v>0</v>
      </c>
      <c r="I21" s="121">
        <v>2</v>
      </c>
      <c r="J21" s="155">
        <f t="shared" ref="J21:L22" si="8">I21</f>
        <v>2</v>
      </c>
      <c r="K21" s="155">
        <f t="shared" si="8"/>
        <v>2</v>
      </c>
      <c r="L21" s="155">
        <f t="shared" si="8"/>
        <v>2</v>
      </c>
    </row>
    <row r="22" spans="1:12" ht="15" customHeight="1" x14ac:dyDescent="0.25">
      <c r="A22" s="96" t="s">
        <v>220</v>
      </c>
      <c r="B22" s="38"/>
      <c r="C22" s="131">
        <v>0</v>
      </c>
      <c r="D22" s="131">
        <v>0</v>
      </c>
      <c r="E22" s="131">
        <v>0</v>
      </c>
      <c r="F22" s="131">
        <v>0</v>
      </c>
      <c r="G22" s="130">
        <v>0</v>
      </c>
      <c r="H22" s="131">
        <v>0</v>
      </c>
      <c r="I22" s="131">
        <v>75000</v>
      </c>
      <c r="J22" s="112">
        <f t="shared" si="8"/>
        <v>75000</v>
      </c>
      <c r="K22" s="112">
        <f t="shared" si="8"/>
        <v>75000</v>
      </c>
      <c r="L22" s="112">
        <f t="shared" si="8"/>
        <v>75000</v>
      </c>
    </row>
    <row r="23" spans="1:12" ht="15" customHeight="1" x14ac:dyDescent="0.25">
      <c r="A23" s="96" t="s">
        <v>221</v>
      </c>
      <c r="B23" s="38"/>
      <c r="C23" s="99">
        <f t="shared" ref="C23:L23" si="9">IF(OR(C21="",C22=""),"",C21*C22*C$6/12)</f>
        <v>0</v>
      </c>
      <c r="D23" s="99">
        <f t="shared" si="9"/>
        <v>0</v>
      </c>
      <c r="E23" s="99">
        <f t="shared" si="9"/>
        <v>0</v>
      </c>
      <c r="F23" s="99">
        <f t="shared" si="9"/>
        <v>0</v>
      </c>
      <c r="G23" s="142">
        <f t="shared" si="9"/>
        <v>0</v>
      </c>
      <c r="H23" s="110">
        <f t="shared" si="9"/>
        <v>0</v>
      </c>
      <c r="I23" s="110">
        <f t="shared" si="9"/>
        <v>150000</v>
      </c>
      <c r="J23" s="110">
        <f t="shared" si="9"/>
        <v>150000</v>
      </c>
      <c r="K23" s="110">
        <f t="shared" si="9"/>
        <v>150000</v>
      </c>
      <c r="L23" s="110">
        <f t="shared" si="9"/>
        <v>150000</v>
      </c>
    </row>
    <row r="24" spans="1:12" ht="15" customHeight="1" x14ac:dyDescent="0.25">
      <c r="A24" s="96" t="s">
        <v>222</v>
      </c>
      <c r="B24" s="38"/>
      <c r="C24" s="121">
        <v>0</v>
      </c>
      <c r="D24" s="121">
        <v>0</v>
      </c>
      <c r="E24" s="121">
        <v>0</v>
      </c>
      <c r="F24" s="121">
        <v>0</v>
      </c>
      <c r="G24" s="120">
        <v>0</v>
      </c>
      <c r="H24" s="121">
        <v>0</v>
      </c>
      <c r="I24" s="121">
        <v>0</v>
      </c>
      <c r="J24" s="121">
        <v>3</v>
      </c>
      <c r="K24" s="155">
        <f>J24</f>
        <v>3</v>
      </c>
      <c r="L24" s="155">
        <f>K24</f>
        <v>3</v>
      </c>
    </row>
    <row r="25" spans="1:12" ht="15" customHeight="1" x14ac:dyDescent="0.25">
      <c r="A25" s="96" t="s">
        <v>223</v>
      </c>
      <c r="B25" s="38"/>
      <c r="C25" s="131">
        <v>0</v>
      </c>
      <c r="D25" s="131">
        <v>0</v>
      </c>
      <c r="E25" s="131">
        <v>0</v>
      </c>
      <c r="F25" s="131">
        <v>0</v>
      </c>
      <c r="G25" s="130">
        <v>0</v>
      </c>
      <c r="H25" s="131">
        <v>0</v>
      </c>
      <c r="I25" s="131">
        <v>0</v>
      </c>
      <c r="J25" s="131">
        <v>150000</v>
      </c>
      <c r="K25" s="112">
        <f>J25</f>
        <v>150000</v>
      </c>
      <c r="L25" s="112">
        <f>K25</f>
        <v>150000</v>
      </c>
    </row>
    <row r="26" spans="1:12" ht="15" customHeight="1" x14ac:dyDescent="0.25">
      <c r="A26" s="96" t="s">
        <v>224</v>
      </c>
      <c r="B26" s="38"/>
      <c r="C26" s="99">
        <f t="shared" ref="C26:L26" si="10">IF(OR(C24="",C25=""),"",C24*C25*C$6/12)</f>
        <v>0</v>
      </c>
      <c r="D26" s="99">
        <f t="shared" si="10"/>
        <v>0</v>
      </c>
      <c r="E26" s="99">
        <f t="shared" si="10"/>
        <v>0</v>
      </c>
      <c r="F26" s="99">
        <f t="shared" si="10"/>
        <v>0</v>
      </c>
      <c r="G26" s="142">
        <f t="shared" si="10"/>
        <v>0</v>
      </c>
      <c r="H26" s="110">
        <f t="shared" si="10"/>
        <v>0</v>
      </c>
      <c r="I26" s="110">
        <f t="shared" si="10"/>
        <v>0</v>
      </c>
      <c r="J26" s="110">
        <f t="shared" si="10"/>
        <v>450000</v>
      </c>
      <c r="K26" s="110">
        <f t="shared" si="10"/>
        <v>450000</v>
      </c>
      <c r="L26" s="110">
        <f t="shared" si="10"/>
        <v>450000</v>
      </c>
    </row>
    <row r="27" spans="1:12" ht="15" customHeight="1" x14ac:dyDescent="0.25">
      <c r="A27" s="96" t="s">
        <v>225</v>
      </c>
      <c r="B27" s="38"/>
      <c r="C27" s="121">
        <v>0</v>
      </c>
      <c r="D27" s="121">
        <v>0</v>
      </c>
      <c r="E27" s="121">
        <v>0</v>
      </c>
      <c r="F27" s="121">
        <v>0</v>
      </c>
      <c r="G27" s="120">
        <v>0</v>
      </c>
      <c r="H27" s="121">
        <v>0</v>
      </c>
      <c r="I27" s="121">
        <v>0</v>
      </c>
      <c r="J27" s="121">
        <v>0</v>
      </c>
      <c r="K27" s="121">
        <v>4</v>
      </c>
      <c r="L27" s="155">
        <f>K27</f>
        <v>4</v>
      </c>
    </row>
    <row r="28" spans="1:12" ht="15" customHeight="1" x14ac:dyDescent="0.25">
      <c r="A28" s="96" t="s">
        <v>226</v>
      </c>
      <c r="B28" s="38"/>
      <c r="C28" s="131">
        <v>0</v>
      </c>
      <c r="D28" s="131">
        <v>0</v>
      </c>
      <c r="E28" s="131">
        <v>0</v>
      </c>
      <c r="F28" s="131">
        <v>0</v>
      </c>
      <c r="G28" s="130">
        <v>0</v>
      </c>
      <c r="H28" s="131">
        <v>0</v>
      </c>
      <c r="I28" s="131">
        <v>0</v>
      </c>
      <c r="J28" s="131">
        <v>0</v>
      </c>
      <c r="K28" s="131">
        <v>50000</v>
      </c>
      <c r="L28" s="112">
        <f>K28</f>
        <v>50000</v>
      </c>
    </row>
    <row r="29" spans="1:12" ht="15" customHeight="1" x14ac:dyDescent="0.25">
      <c r="A29" s="96" t="s">
        <v>227</v>
      </c>
      <c r="B29" s="38"/>
      <c r="C29" s="99">
        <f t="shared" ref="C29:L29" si="11">IF(OR(C27="",C28=""),"",C27*C28*C$6/12)</f>
        <v>0</v>
      </c>
      <c r="D29" s="99">
        <f t="shared" si="11"/>
        <v>0</v>
      </c>
      <c r="E29" s="99">
        <f t="shared" si="11"/>
        <v>0</v>
      </c>
      <c r="F29" s="99">
        <f t="shared" si="11"/>
        <v>0</v>
      </c>
      <c r="G29" s="142">
        <f t="shared" si="11"/>
        <v>0</v>
      </c>
      <c r="H29" s="110">
        <f t="shared" si="11"/>
        <v>0</v>
      </c>
      <c r="I29" s="110">
        <f t="shared" si="11"/>
        <v>0</v>
      </c>
      <c r="J29" s="110">
        <f t="shared" si="11"/>
        <v>0</v>
      </c>
      <c r="K29" s="110">
        <f t="shared" si="11"/>
        <v>200000</v>
      </c>
      <c r="L29" s="110">
        <f t="shared" si="11"/>
        <v>200000</v>
      </c>
    </row>
    <row r="30" spans="1:12" ht="15" customHeight="1" x14ac:dyDescent="0.25">
      <c r="A30" s="96" t="s">
        <v>228</v>
      </c>
      <c r="B30" s="38"/>
      <c r="C30" s="121">
        <v>0</v>
      </c>
      <c r="D30" s="121">
        <v>0</v>
      </c>
      <c r="E30" s="121">
        <v>0</v>
      </c>
      <c r="F30" s="121">
        <v>0</v>
      </c>
      <c r="G30" s="120">
        <v>10</v>
      </c>
      <c r="H30" s="123">
        <f>G30*(1+H31)</f>
        <v>11</v>
      </c>
      <c r="I30" s="123">
        <f>H30*(1+I31)</f>
        <v>12.100000000000001</v>
      </c>
      <c r="J30" s="123">
        <f>I30*(1+J31)</f>
        <v>13.310000000000002</v>
      </c>
      <c r="K30" s="123">
        <f>J30*(1+K31)</f>
        <v>14.641000000000004</v>
      </c>
      <c r="L30" s="123">
        <f>K30*(1+L31)</f>
        <v>16.105100000000004</v>
      </c>
    </row>
    <row r="31" spans="1:12" ht="15" customHeight="1" x14ac:dyDescent="0.25">
      <c r="A31" s="96" t="s">
        <v>229</v>
      </c>
      <c r="B31" s="38"/>
      <c r="C31" s="38"/>
      <c r="D31" s="38"/>
      <c r="E31" s="38"/>
      <c r="F31" s="38"/>
      <c r="G31" s="59"/>
      <c r="H31" s="129">
        <v>0.1</v>
      </c>
      <c r="I31" s="129">
        <v>0.1</v>
      </c>
      <c r="J31" s="129">
        <v>0.1</v>
      </c>
      <c r="K31" s="129">
        <v>0.1</v>
      </c>
      <c r="L31" s="129">
        <v>0.1</v>
      </c>
    </row>
    <row r="32" spans="1:12" ht="15" customHeight="1" x14ac:dyDescent="0.25">
      <c r="A32" s="96" t="s">
        <v>230</v>
      </c>
      <c r="B32" s="38"/>
      <c r="C32" s="131">
        <v>0</v>
      </c>
      <c r="D32" s="131">
        <v>0</v>
      </c>
      <c r="E32" s="131">
        <v>0</v>
      </c>
      <c r="F32" s="131">
        <v>0</v>
      </c>
      <c r="G32" s="130">
        <v>10000</v>
      </c>
      <c r="H32" s="131">
        <v>10000</v>
      </c>
      <c r="I32" s="131">
        <v>10000</v>
      </c>
      <c r="J32" s="131">
        <v>10000</v>
      </c>
      <c r="K32" s="131">
        <v>10000</v>
      </c>
      <c r="L32" s="131">
        <v>10000</v>
      </c>
    </row>
    <row r="33" spans="1:12" ht="15" customHeight="1" x14ac:dyDescent="0.25">
      <c r="A33" s="96" t="s">
        <v>231</v>
      </c>
      <c r="B33" s="38"/>
      <c r="C33" s="99">
        <f t="shared" ref="C33:L33" si="12">IF(OR(C30="",C32=""),"",C30*C32*C$6/12)</f>
        <v>0</v>
      </c>
      <c r="D33" s="99">
        <f t="shared" si="12"/>
        <v>0</v>
      </c>
      <c r="E33" s="99">
        <f t="shared" si="12"/>
        <v>0</v>
      </c>
      <c r="F33" s="99">
        <f t="shared" si="12"/>
        <v>0</v>
      </c>
      <c r="G33" s="142">
        <f t="shared" si="12"/>
        <v>33333.333333333336</v>
      </c>
      <c r="H33" s="110">
        <f t="shared" si="12"/>
        <v>110000</v>
      </c>
      <c r="I33" s="110">
        <f t="shared" si="12"/>
        <v>121000.00000000001</v>
      </c>
      <c r="J33" s="110">
        <f t="shared" si="12"/>
        <v>133100.00000000003</v>
      </c>
      <c r="K33" s="110">
        <f t="shared" si="12"/>
        <v>146410.00000000003</v>
      </c>
      <c r="L33" s="110">
        <f t="shared" si="12"/>
        <v>161051.00000000003</v>
      </c>
    </row>
    <row r="34" spans="1:12" ht="15" customHeight="1" x14ac:dyDescent="0.25">
      <c r="A34" s="124" t="s">
        <v>232</v>
      </c>
      <c r="B34" s="125"/>
      <c r="C34" s="141">
        <f t="shared" ref="C34:L34" si="13">SUM(C20,C23,C26,C29,C33)</f>
        <v>0</v>
      </c>
      <c r="D34" s="141">
        <f t="shared" si="13"/>
        <v>0</v>
      </c>
      <c r="E34" s="141">
        <f t="shared" si="13"/>
        <v>0</v>
      </c>
      <c r="F34" s="141">
        <f t="shared" si="13"/>
        <v>0</v>
      </c>
      <c r="G34" s="156">
        <f t="shared" si="13"/>
        <v>33333.333333333336</v>
      </c>
      <c r="H34" s="157">
        <f t="shared" si="13"/>
        <v>210000</v>
      </c>
      <c r="I34" s="157">
        <f t="shared" si="13"/>
        <v>371000</v>
      </c>
      <c r="J34" s="157">
        <f t="shared" si="13"/>
        <v>833100</v>
      </c>
      <c r="K34" s="157">
        <f t="shared" si="13"/>
        <v>1046410</v>
      </c>
      <c r="L34" s="157">
        <f t="shared" si="13"/>
        <v>1061051</v>
      </c>
    </row>
    <row r="35" spans="1:12" ht="15" customHeight="1" x14ac:dyDescent="0.25">
      <c r="A35" s="96" t="s">
        <v>233</v>
      </c>
      <c r="B35" s="38"/>
      <c r="C35" s="129">
        <v>0</v>
      </c>
      <c r="D35" s="129">
        <v>0</v>
      </c>
      <c r="E35" s="129">
        <v>0</v>
      </c>
      <c r="F35" s="129">
        <v>0</v>
      </c>
      <c r="G35" s="158">
        <v>0</v>
      </c>
      <c r="H35" s="109">
        <v>0</v>
      </c>
      <c r="I35" s="109">
        <v>0</v>
      </c>
      <c r="J35" s="109">
        <v>0</v>
      </c>
      <c r="K35" s="109">
        <v>0</v>
      </c>
      <c r="L35" s="109">
        <v>0</v>
      </c>
    </row>
    <row r="36" spans="1:12" ht="15" customHeight="1" x14ac:dyDescent="0.25">
      <c r="A36" s="96" t="s">
        <v>234</v>
      </c>
      <c r="B36" s="38"/>
      <c r="C36" s="99">
        <f t="shared" ref="C36:L36" si="14">C34*C35</f>
        <v>0</v>
      </c>
      <c r="D36" s="99">
        <f t="shared" si="14"/>
        <v>0</v>
      </c>
      <c r="E36" s="99">
        <f t="shared" si="14"/>
        <v>0</v>
      </c>
      <c r="F36" s="99">
        <f t="shared" si="14"/>
        <v>0</v>
      </c>
      <c r="G36" s="142">
        <f t="shared" si="14"/>
        <v>0</v>
      </c>
      <c r="H36" s="110">
        <f t="shared" si="14"/>
        <v>0</v>
      </c>
      <c r="I36" s="110">
        <f t="shared" si="14"/>
        <v>0</v>
      </c>
      <c r="J36" s="110">
        <f t="shared" si="14"/>
        <v>0</v>
      </c>
      <c r="K36" s="110">
        <f t="shared" si="14"/>
        <v>0</v>
      </c>
      <c r="L36" s="110">
        <f t="shared" si="14"/>
        <v>0</v>
      </c>
    </row>
    <row r="37" spans="1:12" ht="15" customHeight="1" x14ac:dyDescent="0.25">
      <c r="A37" s="100" t="s">
        <v>235</v>
      </c>
      <c r="B37" s="137"/>
      <c r="C37" s="103">
        <f t="shared" ref="C37:L37" si="15">SUM(C34,C36)</f>
        <v>0</v>
      </c>
      <c r="D37" s="103">
        <f t="shared" si="15"/>
        <v>0</v>
      </c>
      <c r="E37" s="103">
        <f t="shared" si="15"/>
        <v>0</v>
      </c>
      <c r="F37" s="103">
        <f t="shared" si="15"/>
        <v>0</v>
      </c>
      <c r="G37" s="159">
        <f t="shared" si="15"/>
        <v>33333.333333333336</v>
      </c>
      <c r="H37" s="160">
        <f t="shared" si="15"/>
        <v>210000</v>
      </c>
      <c r="I37" s="160">
        <f t="shared" si="15"/>
        <v>371000</v>
      </c>
      <c r="J37" s="160">
        <f t="shared" si="15"/>
        <v>833100</v>
      </c>
      <c r="K37" s="160">
        <f t="shared" si="15"/>
        <v>1046410</v>
      </c>
      <c r="L37" s="160">
        <f t="shared" si="15"/>
        <v>1061051</v>
      </c>
    </row>
    <row r="38" spans="1:12" ht="14.5" x14ac:dyDescent="0.25">
      <c r="A38" s="38"/>
      <c r="B38" s="38"/>
      <c r="C38" s="38"/>
      <c r="D38" s="38"/>
      <c r="E38" s="38"/>
      <c r="F38" s="38"/>
      <c r="G38" s="59"/>
      <c r="H38" s="38"/>
      <c r="I38" s="38"/>
      <c r="J38" s="38"/>
      <c r="K38" s="38"/>
      <c r="L38" s="38"/>
    </row>
    <row r="39" spans="1:12" ht="18" customHeight="1" x14ac:dyDescent="0.25">
      <c r="A39" s="14" t="s">
        <v>236</v>
      </c>
      <c r="B39" s="14"/>
      <c r="C39" s="14"/>
      <c r="D39" s="14"/>
      <c r="E39" s="14"/>
      <c r="F39" s="14"/>
      <c r="G39" s="14"/>
      <c r="H39" s="14"/>
      <c r="I39" s="14"/>
      <c r="J39" s="14"/>
      <c r="K39" s="14"/>
      <c r="L39" s="14"/>
    </row>
    <row r="40" spans="1:12" ht="15" customHeight="1" x14ac:dyDescent="0.25">
      <c r="A40" s="96" t="s">
        <v>237</v>
      </c>
      <c r="B40" s="38"/>
      <c r="C40" s="131">
        <v>0</v>
      </c>
      <c r="D40" s="131">
        <v>0</v>
      </c>
      <c r="E40" s="131">
        <v>0</v>
      </c>
      <c r="F40" s="131">
        <v>0</v>
      </c>
      <c r="G40" s="130">
        <v>0</v>
      </c>
      <c r="H40" s="131">
        <v>0</v>
      </c>
      <c r="I40" s="131">
        <v>0</v>
      </c>
      <c r="J40" s="131">
        <v>0</v>
      </c>
      <c r="K40" s="131">
        <v>0</v>
      </c>
      <c r="L40" s="131">
        <v>0</v>
      </c>
    </row>
    <row r="41" spans="1:12" ht="15" customHeight="1" x14ac:dyDescent="0.25">
      <c r="A41" s="96" t="s">
        <v>238</v>
      </c>
      <c r="B41" s="38"/>
      <c r="C41" s="99">
        <f>SUM(C68:C74)</f>
        <v>2128</v>
      </c>
      <c r="D41" s="99">
        <f>SUM(D68:D74)</f>
        <v>2128</v>
      </c>
      <c r="E41" s="99">
        <f>SUM(E68:E74)</f>
        <v>2128</v>
      </c>
      <c r="F41" s="99">
        <f>SUM(F68:F74)</f>
        <v>528</v>
      </c>
      <c r="G41" s="130">
        <v>0</v>
      </c>
      <c r="H41" s="131">
        <v>0</v>
      </c>
      <c r="I41" s="131">
        <v>0</v>
      </c>
      <c r="J41" s="131">
        <v>0</v>
      </c>
      <c r="K41" s="131">
        <v>0</v>
      </c>
      <c r="L41" s="131">
        <v>0</v>
      </c>
    </row>
    <row r="42" spans="1:12" ht="15" customHeight="1" x14ac:dyDescent="0.25">
      <c r="A42" s="96" t="s">
        <v>239</v>
      </c>
      <c r="B42" s="38"/>
      <c r="C42" s="131">
        <v>0</v>
      </c>
      <c r="D42" s="131">
        <v>0</v>
      </c>
      <c r="E42" s="131">
        <v>0</v>
      </c>
      <c r="F42" s="131">
        <v>0</v>
      </c>
      <c r="G42" s="130">
        <v>0</v>
      </c>
      <c r="H42" s="131">
        <v>0</v>
      </c>
      <c r="I42" s="131">
        <v>0</v>
      </c>
      <c r="J42" s="131">
        <v>0</v>
      </c>
      <c r="K42" s="131">
        <v>0</v>
      </c>
      <c r="L42" s="131">
        <v>0</v>
      </c>
    </row>
    <row r="43" spans="1:12" ht="15" customHeight="1" x14ac:dyDescent="0.25">
      <c r="A43" s="124" t="s">
        <v>240</v>
      </c>
      <c r="B43" s="125"/>
      <c r="C43" s="141">
        <f t="shared" ref="C43:L43" si="16">SUM(C40:C42)</f>
        <v>2128</v>
      </c>
      <c r="D43" s="141">
        <f t="shared" si="16"/>
        <v>2128</v>
      </c>
      <c r="E43" s="141">
        <f t="shared" si="16"/>
        <v>2128</v>
      </c>
      <c r="F43" s="141">
        <f t="shared" si="16"/>
        <v>528</v>
      </c>
      <c r="G43" s="140">
        <f t="shared" si="16"/>
        <v>0</v>
      </c>
      <c r="H43" s="141">
        <f t="shared" si="16"/>
        <v>0</v>
      </c>
      <c r="I43" s="141">
        <f t="shared" si="16"/>
        <v>0</v>
      </c>
      <c r="J43" s="141">
        <f t="shared" si="16"/>
        <v>0</v>
      </c>
      <c r="K43" s="141">
        <f t="shared" si="16"/>
        <v>0</v>
      </c>
      <c r="L43" s="141">
        <f t="shared" si="16"/>
        <v>0</v>
      </c>
    </row>
    <row r="44" spans="1:12" ht="14.5" x14ac:dyDescent="0.25">
      <c r="A44" s="38"/>
      <c r="B44" s="38"/>
      <c r="C44" s="38"/>
      <c r="D44" s="38"/>
      <c r="E44" s="38"/>
      <c r="F44" s="38"/>
      <c r="G44" s="59"/>
      <c r="H44" s="38"/>
      <c r="I44" s="38"/>
      <c r="J44" s="38"/>
      <c r="K44" s="38"/>
      <c r="L44" s="38"/>
    </row>
    <row r="45" spans="1:12" ht="18" customHeight="1" x14ac:dyDescent="0.25">
      <c r="A45" s="14" t="s">
        <v>241</v>
      </c>
      <c r="B45" s="14"/>
      <c r="C45" s="14"/>
      <c r="D45" s="14"/>
      <c r="E45" s="14"/>
      <c r="F45" s="14"/>
      <c r="G45" s="14"/>
      <c r="H45" s="14"/>
      <c r="I45" s="14"/>
      <c r="J45" s="14"/>
      <c r="K45" s="14"/>
      <c r="L45" s="14"/>
    </row>
    <row r="46" spans="1:12" ht="15" customHeight="1" x14ac:dyDescent="0.25">
      <c r="A46" s="96" t="s">
        <v>242</v>
      </c>
      <c r="B46" s="38"/>
      <c r="C46" s="131">
        <v>0</v>
      </c>
      <c r="D46" s="131">
        <v>0</v>
      </c>
      <c r="E46" s="131">
        <v>0</v>
      </c>
      <c r="F46" s="131">
        <v>0</v>
      </c>
      <c r="G46" s="130">
        <v>5000</v>
      </c>
      <c r="H46" s="131">
        <v>0</v>
      </c>
      <c r="I46" s="131">
        <v>0</v>
      </c>
      <c r="J46" s="131">
        <v>0</v>
      </c>
      <c r="K46" s="131">
        <v>0</v>
      </c>
      <c r="L46" s="131">
        <v>0</v>
      </c>
    </row>
    <row r="47" spans="1:12" ht="15" customHeight="1" x14ac:dyDescent="0.25">
      <c r="A47" s="96" t="s">
        <v>243</v>
      </c>
      <c r="B47" s="38"/>
      <c r="C47" s="131">
        <v>0</v>
      </c>
      <c r="D47" s="131">
        <v>0</v>
      </c>
      <c r="E47" s="131">
        <v>0</v>
      </c>
      <c r="F47" s="131">
        <v>0</v>
      </c>
      <c r="G47" s="130">
        <v>0</v>
      </c>
      <c r="H47" s="131">
        <v>10000</v>
      </c>
      <c r="I47" s="131">
        <v>0</v>
      </c>
      <c r="J47" s="131">
        <v>0</v>
      </c>
      <c r="K47" s="131">
        <v>0</v>
      </c>
      <c r="L47" s="131">
        <v>0</v>
      </c>
    </row>
    <row r="48" spans="1:12" ht="15" customHeight="1" x14ac:dyDescent="0.25">
      <c r="A48" s="96" t="s">
        <v>244</v>
      </c>
      <c r="B48" s="38"/>
      <c r="C48" s="131">
        <v>0</v>
      </c>
      <c r="D48" s="131">
        <v>0</v>
      </c>
      <c r="E48" s="131">
        <v>0</v>
      </c>
      <c r="F48" s="131">
        <v>0</v>
      </c>
      <c r="G48" s="130">
        <v>0</v>
      </c>
      <c r="H48" s="131">
        <v>0</v>
      </c>
      <c r="I48" s="131">
        <v>15000</v>
      </c>
      <c r="J48" s="131">
        <v>0</v>
      </c>
      <c r="K48" s="131">
        <v>0</v>
      </c>
      <c r="L48" s="131">
        <v>0</v>
      </c>
    </row>
    <row r="49" spans="1:12" ht="15" customHeight="1" x14ac:dyDescent="0.25">
      <c r="A49" s="96" t="s">
        <v>245</v>
      </c>
      <c r="B49" s="38"/>
      <c r="C49" s="131">
        <v>0</v>
      </c>
      <c r="D49" s="131">
        <v>0</v>
      </c>
      <c r="E49" s="131">
        <v>0</v>
      </c>
      <c r="F49" s="131">
        <v>0</v>
      </c>
      <c r="G49" s="130">
        <v>0</v>
      </c>
      <c r="H49" s="131">
        <v>0</v>
      </c>
      <c r="I49" s="131">
        <v>0</v>
      </c>
      <c r="J49" s="131">
        <v>20000</v>
      </c>
      <c r="K49" s="131">
        <v>0</v>
      </c>
      <c r="L49" s="131">
        <v>0</v>
      </c>
    </row>
    <row r="50" spans="1:12" ht="15" customHeight="1" x14ac:dyDescent="0.25">
      <c r="A50" s="96" t="s">
        <v>246</v>
      </c>
      <c r="B50" s="38"/>
      <c r="C50" s="131">
        <v>0</v>
      </c>
      <c r="D50" s="131">
        <v>0</v>
      </c>
      <c r="E50" s="131">
        <v>0</v>
      </c>
      <c r="F50" s="131">
        <v>0</v>
      </c>
      <c r="G50" s="130">
        <v>0</v>
      </c>
      <c r="H50" s="131">
        <v>0</v>
      </c>
      <c r="I50" s="131">
        <v>0</v>
      </c>
      <c r="J50" s="131">
        <v>0</v>
      </c>
      <c r="K50" s="131">
        <v>25000</v>
      </c>
      <c r="L50" s="131">
        <v>0</v>
      </c>
    </row>
    <row r="51" spans="1:12" ht="15" customHeight="1" x14ac:dyDescent="0.25">
      <c r="A51" s="124" t="s">
        <v>247</v>
      </c>
      <c r="B51" s="125"/>
      <c r="C51" s="141">
        <f t="shared" ref="C51:L51" si="17">SUM(C46:C50)</f>
        <v>0</v>
      </c>
      <c r="D51" s="141">
        <f t="shared" si="17"/>
        <v>0</v>
      </c>
      <c r="E51" s="141">
        <f t="shared" si="17"/>
        <v>0</v>
      </c>
      <c r="F51" s="141">
        <f t="shared" si="17"/>
        <v>0</v>
      </c>
      <c r="G51" s="140">
        <f t="shared" si="17"/>
        <v>5000</v>
      </c>
      <c r="H51" s="141">
        <f t="shared" si="17"/>
        <v>10000</v>
      </c>
      <c r="I51" s="141">
        <f t="shared" si="17"/>
        <v>15000</v>
      </c>
      <c r="J51" s="141">
        <f t="shared" si="17"/>
        <v>20000</v>
      </c>
      <c r="K51" s="141">
        <f t="shared" si="17"/>
        <v>25000</v>
      </c>
      <c r="L51" s="141">
        <f t="shared" si="17"/>
        <v>0</v>
      </c>
    </row>
    <row r="52" spans="1:12" ht="14.5" x14ac:dyDescent="0.25">
      <c r="A52" s="38"/>
      <c r="B52" s="38"/>
      <c r="C52" s="38"/>
      <c r="D52" s="38"/>
      <c r="E52" s="38"/>
      <c r="F52" s="38"/>
      <c r="G52" s="59"/>
      <c r="H52" s="38"/>
      <c r="I52" s="38"/>
      <c r="J52" s="38"/>
      <c r="K52" s="38"/>
      <c r="L52" s="38"/>
    </row>
    <row r="53" spans="1:12" ht="18" customHeight="1" x14ac:dyDescent="0.25">
      <c r="A53" s="14" t="s">
        <v>248</v>
      </c>
      <c r="B53" s="14"/>
      <c r="C53" s="14"/>
      <c r="D53" s="14"/>
      <c r="E53" s="14"/>
      <c r="F53" s="14"/>
      <c r="G53" s="14"/>
      <c r="H53" s="14"/>
      <c r="I53" s="14"/>
      <c r="J53" s="14"/>
      <c r="K53" s="14"/>
      <c r="L53" s="14"/>
    </row>
    <row r="54" spans="1:12" ht="15" customHeight="1" x14ac:dyDescent="0.25">
      <c r="A54" s="96" t="s">
        <v>249</v>
      </c>
      <c r="B54" s="38"/>
      <c r="C54" s="131">
        <v>0</v>
      </c>
      <c r="D54" s="131">
        <v>0</v>
      </c>
      <c r="E54" s="131">
        <v>0</v>
      </c>
      <c r="F54" s="131">
        <v>0</v>
      </c>
      <c r="G54" s="130">
        <v>0</v>
      </c>
      <c r="H54" s="131">
        <v>0</v>
      </c>
      <c r="I54" s="131">
        <v>0</v>
      </c>
      <c r="J54" s="131">
        <v>0</v>
      </c>
      <c r="K54" s="131">
        <v>0</v>
      </c>
      <c r="L54" s="131">
        <v>0</v>
      </c>
    </row>
    <row r="55" spans="1:12" ht="15" customHeight="1" x14ac:dyDescent="0.25">
      <c r="A55" s="96" t="s">
        <v>250</v>
      </c>
      <c r="B55" s="38"/>
      <c r="C55" s="131">
        <v>500</v>
      </c>
      <c r="D55" s="131">
        <v>500</v>
      </c>
      <c r="E55" s="131">
        <v>500</v>
      </c>
      <c r="F55" s="131">
        <v>0</v>
      </c>
      <c r="G55" s="130">
        <v>0</v>
      </c>
      <c r="H55" s="131">
        <v>0</v>
      </c>
      <c r="I55" s="131">
        <v>0</v>
      </c>
      <c r="J55" s="131">
        <v>0</v>
      </c>
      <c r="K55" s="131">
        <v>0</v>
      </c>
      <c r="L55" s="131">
        <v>0</v>
      </c>
    </row>
    <row r="56" spans="1:12" ht="15" customHeight="1" x14ac:dyDescent="0.25">
      <c r="A56" s="96" t="s">
        <v>251</v>
      </c>
      <c r="B56" s="38"/>
      <c r="C56" s="131">
        <v>0</v>
      </c>
      <c r="D56" s="131">
        <v>0</v>
      </c>
      <c r="E56" s="131">
        <v>0</v>
      </c>
      <c r="F56" s="131">
        <v>0</v>
      </c>
      <c r="G56" s="130">
        <v>0</v>
      </c>
      <c r="H56" s="131">
        <v>0</v>
      </c>
      <c r="I56" s="131">
        <v>0</v>
      </c>
      <c r="J56" s="131">
        <v>0</v>
      </c>
      <c r="K56" s="131">
        <v>0</v>
      </c>
      <c r="L56" s="131">
        <v>0</v>
      </c>
    </row>
    <row r="57" spans="1:12" ht="15" customHeight="1" x14ac:dyDescent="0.25">
      <c r="A57" s="96" t="s">
        <v>252</v>
      </c>
      <c r="B57" s="38"/>
      <c r="C57" s="131">
        <v>0</v>
      </c>
      <c r="D57" s="131">
        <v>0</v>
      </c>
      <c r="E57" s="131">
        <v>0</v>
      </c>
      <c r="F57" s="131">
        <v>0</v>
      </c>
      <c r="G57" s="130">
        <v>0</v>
      </c>
      <c r="H57" s="131">
        <v>0</v>
      </c>
      <c r="I57" s="131">
        <v>0</v>
      </c>
      <c r="J57" s="131">
        <v>0</v>
      </c>
      <c r="K57" s="131">
        <v>0</v>
      </c>
      <c r="L57" s="131">
        <v>0</v>
      </c>
    </row>
    <row r="58" spans="1:12" ht="15" customHeight="1" x14ac:dyDescent="0.25">
      <c r="A58" s="96" t="s">
        <v>253</v>
      </c>
      <c r="B58" s="38"/>
      <c r="C58" s="131">
        <v>0</v>
      </c>
      <c r="D58" s="131">
        <v>0</v>
      </c>
      <c r="E58" s="131">
        <v>0</v>
      </c>
      <c r="F58" s="131">
        <v>0</v>
      </c>
      <c r="G58" s="130">
        <v>0</v>
      </c>
      <c r="H58" s="131">
        <v>0</v>
      </c>
      <c r="I58" s="131">
        <v>0</v>
      </c>
      <c r="J58" s="131">
        <v>0</v>
      </c>
      <c r="K58" s="131">
        <v>0</v>
      </c>
      <c r="L58" s="131">
        <v>0</v>
      </c>
    </row>
    <row r="59" spans="1:12" ht="15" customHeight="1" x14ac:dyDescent="0.25">
      <c r="A59" s="124" t="s">
        <v>254</v>
      </c>
      <c r="B59" s="125"/>
      <c r="C59" s="141">
        <f t="shared" ref="C59:L59" si="18">SUM(C54:C58)</f>
        <v>500</v>
      </c>
      <c r="D59" s="141">
        <f t="shared" si="18"/>
        <v>500</v>
      </c>
      <c r="E59" s="141">
        <f t="shared" si="18"/>
        <v>500</v>
      </c>
      <c r="F59" s="141">
        <f t="shared" si="18"/>
        <v>0</v>
      </c>
      <c r="G59" s="140">
        <f t="shared" si="18"/>
        <v>0</v>
      </c>
      <c r="H59" s="141">
        <f t="shared" si="18"/>
        <v>0</v>
      </c>
      <c r="I59" s="141">
        <f t="shared" si="18"/>
        <v>0</v>
      </c>
      <c r="J59" s="141">
        <f t="shared" si="18"/>
        <v>0</v>
      </c>
      <c r="K59" s="141">
        <f t="shared" si="18"/>
        <v>0</v>
      </c>
      <c r="L59" s="141">
        <f t="shared" si="18"/>
        <v>0</v>
      </c>
    </row>
    <row r="60" spans="1:12" ht="14.5" x14ac:dyDescent="0.25">
      <c r="A60" s="38"/>
      <c r="B60" s="38"/>
      <c r="C60" s="38"/>
      <c r="D60" s="38"/>
      <c r="E60" s="38"/>
      <c r="F60" s="38"/>
      <c r="G60" s="59"/>
      <c r="H60" s="38"/>
      <c r="I60" s="38"/>
      <c r="J60" s="38"/>
      <c r="K60" s="38"/>
      <c r="L60" s="38"/>
    </row>
    <row r="61" spans="1:12" ht="18" customHeight="1" x14ac:dyDescent="0.25">
      <c r="A61" s="14" t="s">
        <v>255</v>
      </c>
      <c r="B61" s="14"/>
      <c r="C61" s="14"/>
      <c r="D61" s="14"/>
      <c r="E61" s="14"/>
      <c r="F61" s="14"/>
      <c r="G61" s="14"/>
      <c r="H61" s="14"/>
      <c r="I61" s="14"/>
      <c r="J61" s="14"/>
      <c r="K61" s="14"/>
      <c r="L61" s="14"/>
    </row>
    <row r="62" spans="1:12" ht="15" customHeight="1" x14ac:dyDescent="0.25">
      <c r="A62" s="96" t="s">
        <v>256</v>
      </c>
      <c r="B62" s="38"/>
      <c r="C62" s="129">
        <v>0</v>
      </c>
      <c r="D62" s="129">
        <v>0</v>
      </c>
      <c r="E62" s="129">
        <v>0</v>
      </c>
      <c r="F62" s="129">
        <v>0</v>
      </c>
      <c r="G62" s="128">
        <v>0</v>
      </c>
      <c r="H62" s="129">
        <v>0</v>
      </c>
      <c r="I62" s="129">
        <v>0</v>
      </c>
      <c r="J62" s="129">
        <v>0</v>
      </c>
      <c r="K62" s="129">
        <v>0</v>
      </c>
      <c r="L62" s="129">
        <v>0</v>
      </c>
    </row>
    <row r="63" spans="1:12" ht="15" customHeight="1" x14ac:dyDescent="0.25">
      <c r="A63" s="96" t="s">
        <v>257</v>
      </c>
      <c r="B63" s="38"/>
      <c r="C63" s="110">
        <f>C62*Revenue_B!C134</f>
        <v>0</v>
      </c>
      <c r="D63" s="110">
        <f>D62*Revenue_B!D134</f>
        <v>0</v>
      </c>
      <c r="E63" s="110">
        <f>E62*Revenue_B!E134</f>
        <v>0</v>
      </c>
      <c r="F63" s="110">
        <f>F62*Revenue_B!F134</f>
        <v>0</v>
      </c>
      <c r="G63" s="142">
        <f>G62*Revenue_B!G134</f>
        <v>0</v>
      </c>
      <c r="H63" s="110">
        <f>H62*Revenue_B!H134</f>
        <v>0</v>
      </c>
      <c r="I63" s="110">
        <f>I62*Revenue_B!I134</f>
        <v>0</v>
      </c>
      <c r="J63" s="110">
        <f>J62*Revenue_B!J134</f>
        <v>0</v>
      </c>
      <c r="K63" s="110">
        <f>K62*Revenue_B!K134</f>
        <v>0</v>
      </c>
      <c r="L63" s="110">
        <f>L62*Revenue_B!L134</f>
        <v>0</v>
      </c>
    </row>
    <row r="64" spans="1:12" ht="15" customHeight="1" x14ac:dyDescent="0.25">
      <c r="A64" s="96" t="s">
        <v>258</v>
      </c>
      <c r="B64" s="38"/>
      <c r="C64" s="131">
        <v>0</v>
      </c>
      <c r="D64" s="131">
        <v>0</v>
      </c>
      <c r="E64" s="131">
        <v>0</v>
      </c>
      <c r="F64" s="131">
        <v>0</v>
      </c>
      <c r="G64" s="130">
        <v>0</v>
      </c>
      <c r="H64" s="131">
        <v>0</v>
      </c>
      <c r="I64" s="131">
        <v>0</v>
      </c>
      <c r="J64" s="131">
        <v>0</v>
      </c>
      <c r="K64" s="131">
        <v>0</v>
      </c>
      <c r="L64" s="131">
        <v>0</v>
      </c>
    </row>
    <row r="65" spans="1:12" ht="15" customHeight="1" x14ac:dyDescent="0.25">
      <c r="A65" s="124" t="s">
        <v>259</v>
      </c>
      <c r="B65" s="125"/>
      <c r="C65" s="141">
        <f t="shared" ref="C65:L65" si="19">SUM(C63:C64)</f>
        <v>0</v>
      </c>
      <c r="D65" s="141">
        <f t="shared" si="19"/>
        <v>0</v>
      </c>
      <c r="E65" s="141">
        <f t="shared" si="19"/>
        <v>0</v>
      </c>
      <c r="F65" s="141">
        <f t="shared" si="19"/>
        <v>0</v>
      </c>
      <c r="G65" s="140">
        <f t="shared" si="19"/>
        <v>0</v>
      </c>
      <c r="H65" s="141">
        <f t="shared" si="19"/>
        <v>0</v>
      </c>
      <c r="I65" s="141">
        <f t="shared" si="19"/>
        <v>0</v>
      </c>
      <c r="J65" s="141">
        <f t="shared" si="19"/>
        <v>0</v>
      </c>
      <c r="K65" s="141">
        <f t="shared" si="19"/>
        <v>0</v>
      </c>
      <c r="L65" s="141">
        <f t="shared" si="19"/>
        <v>0</v>
      </c>
    </row>
    <row r="66" spans="1:12" ht="14.5" x14ac:dyDescent="0.25">
      <c r="A66" s="38"/>
      <c r="B66" s="38"/>
      <c r="C66" s="38"/>
      <c r="D66" s="38"/>
      <c r="E66" s="38"/>
      <c r="F66" s="38"/>
      <c r="G66" s="59"/>
      <c r="H66" s="38"/>
      <c r="I66" s="38"/>
      <c r="J66" s="38"/>
      <c r="K66" s="38"/>
      <c r="L66" s="38"/>
    </row>
    <row r="67" spans="1:12" ht="18" customHeight="1" x14ac:dyDescent="0.25">
      <c r="A67" s="14" t="s">
        <v>260</v>
      </c>
      <c r="B67" s="14"/>
      <c r="C67" s="14"/>
      <c r="D67" s="14"/>
      <c r="E67" s="14"/>
      <c r="F67" s="14"/>
      <c r="G67" s="14"/>
      <c r="H67" s="14"/>
      <c r="I67" s="14"/>
      <c r="J67" s="14"/>
      <c r="K67" s="14"/>
      <c r="L67" s="14"/>
    </row>
    <row r="68" spans="1:12" ht="15" customHeight="1" x14ac:dyDescent="0.25">
      <c r="A68" s="96" t="s">
        <v>261</v>
      </c>
      <c r="B68" s="38"/>
      <c r="C68" s="131">
        <v>288</v>
      </c>
      <c r="D68" s="131">
        <v>288</v>
      </c>
      <c r="E68" s="131">
        <v>288</v>
      </c>
      <c r="F68" s="131">
        <v>288</v>
      </c>
      <c r="G68" s="59"/>
      <c r="H68" s="38"/>
      <c r="I68" s="38"/>
      <c r="J68" s="38"/>
      <c r="K68" s="38"/>
      <c r="L68" s="38"/>
    </row>
    <row r="69" spans="1:12" ht="15" customHeight="1" x14ac:dyDescent="0.25">
      <c r="A69" s="96" t="s">
        <v>262</v>
      </c>
      <c r="B69" s="38"/>
      <c r="C69" s="131">
        <v>720</v>
      </c>
      <c r="D69" s="131">
        <v>720</v>
      </c>
      <c r="E69" s="131">
        <v>720</v>
      </c>
      <c r="F69" s="131">
        <v>240</v>
      </c>
      <c r="G69" s="59"/>
      <c r="H69" s="38"/>
      <c r="I69" s="38"/>
      <c r="J69" s="38"/>
      <c r="K69" s="38"/>
      <c r="L69" s="38"/>
    </row>
    <row r="70" spans="1:12" ht="15" customHeight="1" x14ac:dyDescent="0.25">
      <c r="A70" s="96" t="s">
        <v>263</v>
      </c>
      <c r="B70" s="38"/>
      <c r="C70" s="131">
        <v>300</v>
      </c>
      <c r="D70" s="131">
        <v>300</v>
      </c>
      <c r="E70" s="131">
        <v>300</v>
      </c>
      <c r="F70" s="38"/>
      <c r="G70" s="59"/>
      <c r="H70" s="38"/>
      <c r="I70" s="38"/>
      <c r="J70" s="38"/>
      <c r="K70" s="38"/>
      <c r="L70" s="38"/>
    </row>
    <row r="71" spans="1:12" ht="15" customHeight="1" x14ac:dyDescent="0.25">
      <c r="A71" s="96" t="s">
        <v>264</v>
      </c>
      <c r="B71" s="38"/>
      <c r="C71" s="131">
        <v>300</v>
      </c>
      <c r="D71" s="131">
        <v>300</v>
      </c>
      <c r="E71" s="131">
        <v>300</v>
      </c>
      <c r="F71" s="38"/>
      <c r="G71" s="59"/>
      <c r="H71" s="38"/>
      <c r="I71" s="38"/>
      <c r="J71" s="38"/>
      <c r="K71" s="38"/>
      <c r="L71" s="38"/>
    </row>
    <row r="72" spans="1:12" ht="15" customHeight="1" x14ac:dyDescent="0.25">
      <c r="A72" s="96" t="s">
        <v>265</v>
      </c>
      <c r="B72" s="38"/>
      <c r="C72" s="131">
        <v>180</v>
      </c>
      <c r="D72" s="131">
        <v>180</v>
      </c>
      <c r="E72" s="131">
        <v>180</v>
      </c>
      <c r="F72" s="38"/>
      <c r="G72" s="59"/>
      <c r="H72" s="38"/>
      <c r="I72" s="38"/>
      <c r="J72" s="38"/>
      <c r="K72" s="38"/>
      <c r="L72" s="38"/>
    </row>
    <row r="73" spans="1:12" ht="15" customHeight="1" x14ac:dyDescent="0.25">
      <c r="A73" s="96" t="s">
        <v>266</v>
      </c>
      <c r="B73" s="38"/>
      <c r="C73" s="131">
        <v>240</v>
      </c>
      <c r="D73" s="131">
        <v>240</v>
      </c>
      <c r="E73" s="131">
        <v>240</v>
      </c>
      <c r="F73" s="38"/>
      <c r="G73" s="59"/>
      <c r="H73" s="38"/>
      <c r="I73" s="38"/>
      <c r="J73" s="38"/>
      <c r="K73" s="38"/>
      <c r="L73" s="38"/>
    </row>
    <row r="74" spans="1:12" ht="15" customHeight="1" x14ac:dyDescent="0.25">
      <c r="A74" s="96" t="s">
        <v>267</v>
      </c>
      <c r="B74" s="38"/>
      <c r="C74" s="131">
        <v>100</v>
      </c>
      <c r="D74" s="131">
        <v>100</v>
      </c>
      <c r="E74" s="131">
        <v>100</v>
      </c>
      <c r="F74" s="38"/>
      <c r="G74" s="59"/>
      <c r="H74" s="38"/>
      <c r="I74" s="38"/>
      <c r="J74" s="38"/>
      <c r="K74" s="38"/>
      <c r="L74" s="38"/>
    </row>
    <row r="75" spans="1:12" ht="15" customHeight="1" x14ac:dyDescent="0.25">
      <c r="A75" s="124" t="s">
        <v>268</v>
      </c>
      <c r="B75" s="125"/>
      <c r="C75" s="141">
        <f>SUM(C68:C74)</f>
        <v>2128</v>
      </c>
      <c r="D75" s="141">
        <f>SUM(D68:D74)</f>
        <v>2128</v>
      </c>
      <c r="E75" s="141">
        <f>SUM(E68:E74)</f>
        <v>2128</v>
      </c>
      <c r="F75" s="141">
        <f>SUM(F68:F74)</f>
        <v>528</v>
      </c>
      <c r="G75" s="135"/>
      <c r="H75" s="125"/>
      <c r="I75" s="125"/>
      <c r="J75" s="125"/>
      <c r="K75" s="125"/>
      <c r="L75" s="125"/>
    </row>
    <row r="76" spans="1:12" ht="14.5" x14ac:dyDescent="0.25">
      <c r="A76" s="38"/>
      <c r="B76" s="38"/>
      <c r="C76" s="38"/>
      <c r="D76" s="38"/>
      <c r="E76" s="38"/>
      <c r="F76" s="38"/>
      <c r="G76" s="38"/>
      <c r="H76" s="38"/>
      <c r="I76" s="38"/>
      <c r="J76" s="38"/>
      <c r="K76" s="38"/>
      <c r="L76" s="38"/>
    </row>
    <row r="77" spans="1:12" ht="60" customHeight="1" x14ac:dyDescent="0.25">
      <c r="A77" s="4" t="s">
        <v>269</v>
      </c>
      <c r="B77" s="4"/>
      <c r="C77" s="4"/>
      <c r="D77" s="4"/>
      <c r="E77" s="4"/>
      <c r="F77" s="4"/>
      <c r="G77" s="4"/>
      <c r="H77" s="4"/>
      <c r="I77" s="4"/>
      <c r="J77" s="4"/>
      <c r="K77" s="4"/>
      <c r="L77" s="4"/>
    </row>
  </sheetData>
  <mergeCells count="10">
    <mergeCell ref="A45:L45"/>
    <mergeCell ref="A53:L53"/>
    <mergeCell ref="A61:L61"/>
    <mergeCell ref="A67:L67"/>
    <mergeCell ref="A77:L77"/>
    <mergeCell ref="A1:L1"/>
    <mergeCell ref="A2:L2"/>
    <mergeCell ref="A8:L8"/>
    <mergeCell ref="A17:L17"/>
    <mergeCell ref="A39:L39"/>
  </mergeCell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1"/>
  <sheetViews>
    <sheetView showGridLines="0" zoomScaleNormal="100" workbookViewId="0">
      <selection sqref="A1:G1"/>
    </sheetView>
  </sheetViews>
  <sheetFormatPr defaultColWidth="8.6328125" defaultRowHeight="12.5" x14ac:dyDescent="0.25"/>
  <cols>
    <col min="1" max="1" width="58" customWidth="1"/>
    <col min="2" max="2" width="12" customWidth="1"/>
    <col min="3" max="5" width="16" customWidth="1"/>
    <col min="6" max="6" width="14" customWidth="1"/>
    <col min="7" max="7" width="12" customWidth="1"/>
  </cols>
  <sheetData>
    <row r="1" spans="1:7" ht="18" customHeight="1" x14ac:dyDescent="0.25">
      <c r="A1" s="14" t="s">
        <v>270</v>
      </c>
      <c r="B1" s="14"/>
      <c r="C1" s="14"/>
      <c r="D1" s="14"/>
      <c r="E1" s="14"/>
      <c r="F1" s="14"/>
      <c r="G1" s="14"/>
    </row>
    <row r="2" spans="1:7" ht="14.5" x14ac:dyDescent="0.25">
      <c r="A2" s="38"/>
      <c r="B2" s="38"/>
      <c r="C2" s="38"/>
      <c r="D2" s="38"/>
      <c r="E2" s="38"/>
      <c r="F2" s="38"/>
      <c r="G2" s="38"/>
    </row>
    <row r="3" spans="1:7" ht="15" customHeight="1" x14ac:dyDescent="0.25">
      <c r="A3" s="161" t="s">
        <v>271</v>
      </c>
      <c r="B3" s="161" t="s">
        <v>272</v>
      </c>
      <c r="C3" s="161" t="s">
        <v>12</v>
      </c>
      <c r="D3" s="161" t="s">
        <v>273</v>
      </c>
      <c r="E3" s="161" t="s">
        <v>274</v>
      </c>
      <c r="F3" s="161" t="s">
        <v>275</v>
      </c>
      <c r="G3" s="161" t="s">
        <v>276</v>
      </c>
    </row>
    <row r="4" spans="1:7" ht="15" customHeight="1" x14ac:dyDescent="0.25">
      <c r="A4" s="162" t="s">
        <v>277</v>
      </c>
      <c r="B4" s="162" t="s">
        <v>278</v>
      </c>
      <c r="C4" s="163">
        <f>MAX(Revenue_B!G29:L29)-MIN(Revenue_B!G29:L29)</f>
        <v>0</v>
      </c>
      <c r="D4" s="163">
        <v>0</v>
      </c>
      <c r="E4" s="164">
        <f t="shared" ref="E4:E29" si="0">C4-D4</f>
        <v>0</v>
      </c>
      <c r="F4" s="165">
        <v>1E-3</v>
      </c>
      <c r="G4" s="166" t="str">
        <f t="shared" ref="G4:G29" si="1">IFERROR(IF(ABS(E4)&lt;=F4,"OK","FAIL"),"FAIL")</f>
        <v>OK</v>
      </c>
    </row>
    <row r="5" spans="1:7" ht="15" customHeight="1" x14ac:dyDescent="0.25">
      <c r="A5" s="162" t="s">
        <v>279</v>
      </c>
      <c r="B5" s="162" t="s">
        <v>278</v>
      </c>
      <c r="C5" s="163">
        <f>MAX(MAX(Revenue_B!G82:L83)-1,-MIN(Revenue_B!G82:L83),0)</f>
        <v>0</v>
      </c>
      <c r="D5" s="163">
        <v>0</v>
      </c>
      <c r="E5" s="165">
        <f t="shared" si="0"/>
        <v>0</v>
      </c>
      <c r="F5" s="165">
        <v>1E-3</v>
      </c>
      <c r="G5" s="162" t="str">
        <f t="shared" si="1"/>
        <v>OK</v>
      </c>
    </row>
    <row r="6" spans="1:7" ht="15" customHeight="1" x14ac:dyDescent="0.25">
      <c r="A6" s="162" t="s">
        <v>280</v>
      </c>
      <c r="B6" s="162" t="s">
        <v>5</v>
      </c>
      <c r="C6" s="163">
        <f>SUM(Revenue_B!G87:G88)</f>
        <v>239</v>
      </c>
      <c r="D6" s="163">
        <f>Revenue_B!G89</f>
        <v>239</v>
      </c>
      <c r="E6" s="165">
        <f t="shared" si="0"/>
        <v>0</v>
      </c>
      <c r="F6" s="165">
        <v>1E-3</v>
      </c>
      <c r="G6" s="162" t="str">
        <f t="shared" si="1"/>
        <v>OK</v>
      </c>
    </row>
    <row r="7" spans="1:7" ht="15" customHeight="1" x14ac:dyDescent="0.25">
      <c r="A7" s="162" t="s">
        <v>281</v>
      </c>
      <c r="B7" s="162" t="s">
        <v>5</v>
      </c>
      <c r="C7" s="163">
        <f>Revenue_B!G11</f>
        <v>1037.625</v>
      </c>
      <c r="D7" s="163">
        <f>Revenue_B!G137</f>
        <v>1037.625</v>
      </c>
      <c r="E7" s="165">
        <f t="shared" si="0"/>
        <v>0</v>
      </c>
      <c r="F7" s="165">
        <v>1E-3</v>
      </c>
      <c r="G7" s="162" t="str">
        <f t="shared" si="1"/>
        <v>OK</v>
      </c>
    </row>
    <row r="8" spans="1:7" ht="15" customHeight="1" x14ac:dyDescent="0.25">
      <c r="A8" s="162" t="s">
        <v>282</v>
      </c>
      <c r="B8" s="162" t="s">
        <v>5</v>
      </c>
      <c r="C8" s="163">
        <f>Revenue_B!G143</f>
        <v>38333.333333333336</v>
      </c>
      <c r="D8" s="163">
        <f>SUM(Revenue_B!G140:G142)</f>
        <v>38333.333333333336</v>
      </c>
      <c r="E8" s="165">
        <f t="shared" si="0"/>
        <v>0</v>
      </c>
      <c r="F8" s="165">
        <v>1E-3</v>
      </c>
      <c r="G8" s="162" t="str">
        <f t="shared" si="1"/>
        <v>OK</v>
      </c>
    </row>
    <row r="9" spans="1:7" ht="15" customHeight="1" x14ac:dyDescent="0.25">
      <c r="A9" s="162" t="s">
        <v>283</v>
      </c>
      <c r="B9" s="162" t="s">
        <v>6</v>
      </c>
      <c r="C9" s="163">
        <f>SUM(Revenue_B!H87:H88)</f>
        <v>1040.8625</v>
      </c>
      <c r="D9" s="163">
        <f>Revenue_B!H89</f>
        <v>1040.8625</v>
      </c>
      <c r="E9" s="165">
        <f t="shared" si="0"/>
        <v>0</v>
      </c>
      <c r="F9" s="165">
        <v>1E-3</v>
      </c>
      <c r="G9" s="162" t="str">
        <f t="shared" si="1"/>
        <v>OK</v>
      </c>
    </row>
    <row r="10" spans="1:7" ht="15" customHeight="1" x14ac:dyDescent="0.25">
      <c r="A10" s="162" t="s">
        <v>284</v>
      </c>
      <c r="B10" s="162" t="s">
        <v>6</v>
      </c>
      <c r="C10" s="163">
        <f>Revenue_B!H11</f>
        <v>54703.40625</v>
      </c>
      <c r="D10" s="163">
        <f>Revenue_B!H137</f>
        <v>54703.40625</v>
      </c>
      <c r="E10" s="165">
        <f t="shared" si="0"/>
        <v>0</v>
      </c>
      <c r="F10" s="165">
        <v>1E-3</v>
      </c>
      <c r="G10" s="162" t="str">
        <f t="shared" si="1"/>
        <v>OK</v>
      </c>
    </row>
    <row r="11" spans="1:7" ht="15" customHeight="1" x14ac:dyDescent="0.25">
      <c r="A11" s="162" t="s">
        <v>285</v>
      </c>
      <c r="B11" s="162" t="s">
        <v>6</v>
      </c>
      <c r="C11" s="163">
        <f>Revenue_B!H143</f>
        <v>120000</v>
      </c>
      <c r="D11" s="163">
        <f>SUM(Revenue_B!H140:H142)</f>
        <v>120000</v>
      </c>
      <c r="E11" s="165">
        <f t="shared" si="0"/>
        <v>0</v>
      </c>
      <c r="F11" s="165">
        <v>1E-3</v>
      </c>
      <c r="G11" s="162" t="str">
        <f t="shared" si="1"/>
        <v>OK</v>
      </c>
    </row>
    <row r="12" spans="1:7" ht="15" customHeight="1" x14ac:dyDescent="0.25">
      <c r="A12" s="162" t="s">
        <v>286</v>
      </c>
      <c r="B12" s="162" t="s">
        <v>7</v>
      </c>
      <c r="C12" s="163">
        <f>SUM(Revenue_B!I87:I88)</f>
        <v>3197.15625</v>
      </c>
      <c r="D12" s="163">
        <f>Revenue_B!I89</f>
        <v>3197.15625</v>
      </c>
      <c r="E12" s="165">
        <f t="shared" si="0"/>
        <v>0</v>
      </c>
      <c r="F12" s="165">
        <v>1E-3</v>
      </c>
      <c r="G12" s="162" t="str">
        <f t="shared" si="1"/>
        <v>OK</v>
      </c>
    </row>
    <row r="13" spans="1:7" ht="15" customHeight="1" x14ac:dyDescent="0.25">
      <c r="A13" s="162" t="s">
        <v>287</v>
      </c>
      <c r="B13" s="162" t="s">
        <v>7</v>
      </c>
      <c r="C13" s="163">
        <f>Revenue_B!I11</f>
        <v>229476.32437499997</v>
      </c>
      <c r="D13" s="163">
        <f>Revenue_B!I137</f>
        <v>229476.32437499997</v>
      </c>
      <c r="E13" s="165">
        <f t="shared" si="0"/>
        <v>0</v>
      </c>
      <c r="F13" s="165">
        <v>1E-3</v>
      </c>
      <c r="G13" s="162" t="str">
        <f t="shared" si="1"/>
        <v>OK</v>
      </c>
    </row>
    <row r="14" spans="1:7" ht="15" customHeight="1" x14ac:dyDescent="0.25">
      <c r="A14" s="162" t="s">
        <v>288</v>
      </c>
      <c r="B14" s="162" t="s">
        <v>7</v>
      </c>
      <c r="C14" s="163">
        <f>Revenue_B!I143</f>
        <v>136000</v>
      </c>
      <c r="D14" s="163">
        <f>SUM(Revenue_B!I140:I142)</f>
        <v>136000</v>
      </c>
      <c r="E14" s="165">
        <f t="shared" si="0"/>
        <v>0</v>
      </c>
      <c r="F14" s="165">
        <v>1E-3</v>
      </c>
      <c r="G14" s="162" t="str">
        <f t="shared" si="1"/>
        <v>OK</v>
      </c>
    </row>
    <row r="15" spans="1:7" ht="15" customHeight="1" x14ac:dyDescent="0.25">
      <c r="A15" s="162" t="s">
        <v>289</v>
      </c>
      <c r="B15" s="162" t="s">
        <v>8</v>
      </c>
      <c r="C15" s="163">
        <f>SUM(Revenue_B!J87:J88)</f>
        <v>8404.118771874997</v>
      </c>
      <c r="D15" s="163">
        <f>Revenue_B!J89</f>
        <v>8404.118771874997</v>
      </c>
      <c r="E15" s="165">
        <f t="shared" si="0"/>
        <v>0</v>
      </c>
      <c r="F15" s="165">
        <v>1E-3</v>
      </c>
      <c r="G15" s="162" t="str">
        <f t="shared" si="1"/>
        <v>OK</v>
      </c>
    </row>
    <row r="16" spans="1:7" ht="15" customHeight="1" x14ac:dyDescent="0.25">
      <c r="A16" s="162" t="s">
        <v>290</v>
      </c>
      <c r="B16" s="162" t="s">
        <v>8</v>
      </c>
      <c r="C16" s="163">
        <f>Revenue_B!J11</f>
        <v>673264.93656093744</v>
      </c>
      <c r="D16" s="163">
        <f>Revenue_B!J137</f>
        <v>673264.93656093744</v>
      </c>
      <c r="E16" s="165">
        <f t="shared" si="0"/>
        <v>0</v>
      </c>
      <c r="F16" s="165">
        <v>1E-3</v>
      </c>
      <c r="G16" s="162" t="str">
        <f t="shared" si="1"/>
        <v>OK</v>
      </c>
    </row>
    <row r="17" spans="1:7" ht="15" customHeight="1" x14ac:dyDescent="0.25">
      <c r="A17" s="162" t="s">
        <v>291</v>
      </c>
      <c r="B17" s="162" t="s">
        <v>8</v>
      </c>
      <c r="C17" s="163">
        <f>Revenue_B!J143</f>
        <v>133100.00000000003</v>
      </c>
      <c r="D17" s="163">
        <f>SUM(Revenue_B!J140:J142)</f>
        <v>133100.00000000003</v>
      </c>
      <c r="E17" s="165">
        <f t="shared" si="0"/>
        <v>0</v>
      </c>
      <c r="F17" s="165">
        <v>1E-3</v>
      </c>
      <c r="G17" s="162" t="str">
        <f t="shared" si="1"/>
        <v>OK</v>
      </c>
    </row>
    <row r="18" spans="1:7" ht="15" customHeight="1" x14ac:dyDescent="0.25">
      <c r="A18" s="162" t="s">
        <v>292</v>
      </c>
      <c r="B18" s="162" t="s">
        <v>9</v>
      </c>
      <c r="C18" s="163">
        <f>SUM(Revenue_B!K87:K88)</f>
        <v>19621.980338690228</v>
      </c>
      <c r="D18" s="163">
        <f>Revenue_B!K89</f>
        <v>19621.980338690228</v>
      </c>
      <c r="E18" s="165">
        <f t="shared" si="0"/>
        <v>0</v>
      </c>
      <c r="F18" s="165">
        <v>1E-3</v>
      </c>
      <c r="G18" s="162" t="str">
        <f t="shared" si="1"/>
        <v>OK</v>
      </c>
    </row>
    <row r="19" spans="1:7" ht="15" customHeight="1" x14ac:dyDescent="0.25">
      <c r="A19" s="162" t="s">
        <v>293</v>
      </c>
      <c r="B19" s="162" t="s">
        <v>9</v>
      </c>
      <c r="C19" s="163">
        <f>Revenue_B!K11</f>
        <v>1650280.4730665029</v>
      </c>
      <c r="D19" s="163">
        <f>Revenue_B!K137</f>
        <v>1650280.4730665029</v>
      </c>
      <c r="E19" s="165">
        <f t="shared" si="0"/>
        <v>0</v>
      </c>
      <c r="F19" s="165">
        <v>1E-3</v>
      </c>
      <c r="G19" s="162" t="str">
        <f t="shared" si="1"/>
        <v>OK</v>
      </c>
    </row>
    <row r="20" spans="1:7" ht="15" customHeight="1" x14ac:dyDescent="0.25">
      <c r="A20" s="162" t="s">
        <v>294</v>
      </c>
      <c r="B20" s="162" t="s">
        <v>9</v>
      </c>
      <c r="C20" s="163">
        <f>Revenue_B!K143</f>
        <v>146410.00000000003</v>
      </c>
      <c r="D20" s="163">
        <f>SUM(Revenue_B!K140:K142)</f>
        <v>146410.00000000003</v>
      </c>
      <c r="E20" s="165">
        <f t="shared" si="0"/>
        <v>0</v>
      </c>
      <c r="F20" s="165">
        <v>1E-3</v>
      </c>
      <c r="G20" s="162" t="str">
        <f t="shared" si="1"/>
        <v>OK</v>
      </c>
    </row>
    <row r="21" spans="1:7" ht="15" customHeight="1" x14ac:dyDescent="0.25">
      <c r="A21" s="162" t="s">
        <v>295</v>
      </c>
      <c r="B21" s="162" t="s">
        <v>10</v>
      </c>
      <c r="C21" s="163">
        <f>SUM(Revenue_B!L87:L88)</f>
        <v>41226.163042219086</v>
      </c>
      <c r="D21" s="163">
        <f>Revenue_B!L89</f>
        <v>41226.163042219086</v>
      </c>
      <c r="E21" s="165">
        <f t="shared" si="0"/>
        <v>0</v>
      </c>
      <c r="F21" s="165">
        <v>1E-3</v>
      </c>
      <c r="G21" s="162" t="str">
        <f t="shared" si="1"/>
        <v>OK</v>
      </c>
    </row>
    <row r="22" spans="1:7" ht="15" customHeight="1" x14ac:dyDescent="0.25">
      <c r="A22" s="162" t="s">
        <v>296</v>
      </c>
      <c r="B22" s="162" t="s">
        <v>10</v>
      </c>
      <c r="C22" s="163">
        <f>Revenue_B!L11</f>
        <v>3566760.872428433</v>
      </c>
      <c r="D22" s="163">
        <f>Revenue_B!L137</f>
        <v>3566760.872428433</v>
      </c>
      <c r="E22" s="165">
        <f t="shared" si="0"/>
        <v>0</v>
      </c>
      <c r="F22" s="165">
        <v>1E-3</v>
      </c>
      <c r="G22" s="162" t="str">
        <f t="shared" si="1"/>
        <v>OK</v>
      </c>
    </row>
    <row r="23" spans="1:7" ht="15" customHeight="1" x14ac:dyDescent="0.25">
      <c r="A23" s="162" t="s">
        <v>297</v>
      </c>
      <c r="B23" s="162" t="s">
        <v>10</v>
      </c>
      <c r="C23" s="163">
        <f>Revenue_B!L143</f>
        <v>161051.00000000003</v>
      </c>
      <c r="D23" s="163">
        <f>SUM(Revenue_B!L140:L142)</f>
        <v>161051.00000000003</v>
      </c>
      <c r="E23" s="165">
        <f t="shared" si="0"/>
        <v>0</v>
      </c>
      <c r="F23" s="165">
        <v>1E-3</v>
      </c>
      <c r="G23" s="162" t="str">
        <f t="shared" si="1"/>
        <v>OK</v>
      </c>
    </row>
    <row r="24" spans="1:7" ht="15" customHeight="1" x14ac:dyDescent="0.25">
      <c r="A24" s="162" t="s">
        <v>298</v>
      </c>
      <c r="B24" s="162" t="s">
        <v>6</v>
      </c>
      <c r="C24" s="163">
        <f>'Summary IS'!H14</f>
        <v>54703.40625</v>
      </c>
      <c r="D24" s="163">
        <f>Revenue_B!H11</f>
        <v>54703.40625</v>
      </c>
      <c r="E24" s="165">
        <f t="shared" si="0"/>
        <v>0</v>
      </c>
      <c r="F24" s="165">
        <v>1E-3</v>
      </c>
      <c r="G24" s="162" t="str">
        <f t="shared" si="1"/>
        <v>OK</v>
      </c>
    </row>
    <row r="25" spans="1:7" ht="15" customHeight="1" x14ac:dyDescent="0.25">
      <c r="A25" s="162" t="s">
        <v>299</v>
      </c>
      <c r="B25" s="162" t="s">
        <v>6</v>
      </c>
      <c r="C25" s="163">
        <f>'Summary IS'!H19</f>
        <v>210000</v>
      </c>
      <c r="D25" s="163">
        <f>Expenses_Y!H37</f>
        <v>210000</v>
      </c>
      <c r="E25" s="165">
        <f t="shared" si="0"/>
        <v>0</v>
      </c>
      <c r="F25" s="165">
        <v>1E-3</v>
      </c>
      <c r="G25" s="162" t="str">
        <f t="shared" si="1"/>
        <v>OK</v>
      </c>
    </row>
    <row r="26" spans="1:7" ht="15" customHeight="1" x14ac:dyDescent="0.25">
      <c r="A26" s="162" t="s">
        <v>300</v>
      </c>
      <c r="B26" s="162" t="s">
        <v>6</v>
      </c>
      <c r="C26" s="163">
        <f>'Summary IS'!H15</f>
        <v>0</v>
      </c>
      <c r="D26" s="163">
        <f>Expenses_Y!H65</f>
        <v>0</v>
      </c>
      <c r="E26" s="165">
        <f t="shared" si="0"/>
        <v>0</v>
      </c>
      <c r="F26" s="165">
        <v>1E-3</v>
      </c>
      <c r="G26" s="162" t="str">
        <f t="shared" si="1"/>
        <v>OK</v>
      </c>
    </row>
    <row r="27" spans="1:7" ht="15" customHeight="1" x14ac:dyDescent="0.25">
      <c r="A27" s="162" t="s">
        <v>301</v>
      </c>
      <c r="B27" s="162" t="s">
        <v>6</v>
      </c>
      <c r="C27" s="163">
        <f>Expenses_Y!H63</f>
        <v>0</v>
      </c>
      <c r="D27" s="163">
        <f>Expenses_Y!H62*Revenue_B!H134</f>
        <v>0</v>
      </c>
      <c r="E27" s="165">
        <f t="shared" si="0"/>
        <v>0</v>
      </c>
      <c r="F27" s="165">
        <v>1E-3</v>
      </c>
      <c r="G27" s="162" t="str">
        <f t="shared" si="1"/>
        <v>OK</v>
      </c>
    </row>
    <row r="28" spans="1:7" ht="15" customHeight="1" x14ac:dyDescent="0.25">
      <c r="A28" s="162" t="s">
        <v>302</v>
      </c>
      <c r="B28" s="162" t="s">
        <v>6</v>
      </c>
      <c r="C28" s="163">
        <f>Expenses_Y!H14</f>
        <v>220000</v>
      </c>
      <c r="D28" s="163">
        <f>SUM(Expenses_Y!H9:H13)</f>
        <v>220000</v>
      </c>
      <c r="E28" s="165">
        <f t="shared" si="0"/>
        <v>0</v>
      </c>
      <c r="F28" s="165">
        <v>1E-3</v>
      </c>
      <c r="G28" s="162" t="str">
        <f t="shared" si="1"/>
        <v>OK</v>
      </c>
    </row>
    <row r="29" spans="1:7" ht="15" customHeight="1" x14ac:dyDescent="0.25">
      <c r="A29" s="162" t="s">
        <v>303</v>
      </c>
      <c r="B29" s="162" t="s">
        <v>6</v>
      </c>
      <c r="C29" s="163">
        <f>'Summary IS'!H30</f>
        <v>-165296.59375</v>
      </c>
      <c r="D29" s="163">
        <f>'Summary IS'!H28-'Summary IS'!H29</f>
        <v>-165296.59375</v>
      </c>
      <c r="E29" s="165">
        <f t="shared" si="0"/>
        <v>0</v>
      </c>
      <c r="F29" s="165">
        <v>1E-3</v>
      </c>
      <c r="G29" s="162" t="str">
        <f t="shared" si="1"/>
        <v>OK</v>
      </c>
    </row>
    <row r="30" spans="1:7" ht="14.5" x14ac:dyDescent="0.25">
      <c r="A30" s="167"/>
      <c r="B30" s="167"/>
      <c r="C30" s="168"/>
      <c r="D30" s="168"/>
      <c r="E30" s="168"/>
      <c r="F30" s="168"/>
      <c r="G30" s="167"/>
    </row>
    <row r="31" spans="1:7" ht="15" customHeight="1" x14ac:dyDescent="0.25">
      <c r="A31" s="169" t="s">
        <v>304</v>
      </c>
      <c r="B31" s="170"/>
      <c r="C31" s="171"/>
      <c r="D31" s="171"/>
      <c r="E31" s="171"/>
      <c r="F31" s="171"/>
      <c r="G31" s="172" t="str">
        <f>IFERROR(IF(COUNTIF(G4:G29,"OK")=ROWS(G4:G29),"PASS","FAIL"),"FAIL")</f>
        <v>PASS</v>
      </c>
    </row>
  </sheetData>
  <mergeCells count="1">
    <mergeCell ref="A1:G1"/>
  </mergeCells>
  <conditionalFormatting sqref="G4:G31">
    <cfRule type="containsText" dxfId="5" priority="2" operator="containsText" text="OK">
      <formula>NOT(ISERROR(SEARCH("OK",G4)))</formula>
    </cfRule>
    <cfRule type="containsText" dxfId="4" priority="3" operator="containsText" text="FAIL">
      <formula>NOT(ISERROR(SEARCH("FAIL",G4)))</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showGridLines="0" zoomScale="85" zoomScaleNormal="85" workbookViewId="0">
      <selection activeCell="D6" sqref="D6:E6"/>
    </sheetView>
  </sheetViews>
  <sheetFormatPr defaultColWidth="21.453125" defaultRowHeight="12.5" x14ac:dyDescent="0.25"/>
  <cols>
    <col min="1" max="1" width="48" customWidth="1"/>
    <col min="2" max="2" width="31" customWidth="1"/>
    <col min="3" max="3" width="3" customWidth="1"/>
    <col min="4" max="4" width="55" customWidth="1"/>
    <col min="5" max="5" width="3" customWidth="1"/>
    <col min="6" max="6" width="16" customWidth="1"/>
    <col min="7" max="7" width="70" customWidth="1"/>
    <col min="8" max="8" width="3" customWidth="1"/>
  </cols>
  <sheetData>
    <row r="1" spans="1:8" ht="14.5" x14ac:dyDescent="0.25">
      <c r="A1" s="38"/>
      <c r="B1" s="38"/>
      <c r="C1" s="38"/>
      <c r="D1" s="38"/>
      <c r="E1" s="38"/>
      <c r="F1" s="38"/>
      <c r="G1" s="38"/>
      <c r="H1" s="38"/>
    </row>
    <row r="2" spans="1:8" ht="18" customHeight="1" x14ac:dyDescent="0.25">
      <c r="A2" s="10" t="s">
        <v>305</v>
      </c>
      <c r="B2" s="10"/>
      <c r="C2" s="10"/>
      <c r="D2" s="10"/>
      <c r="E2" s="10"/>
      <c r="F2" s="10"/>
      <c r="G2" s="10"/>
      <c r="H2" s="10"/>
    </row>
    <row r="3" spans="1:8" ht="13.5" customHeight="1" x14ac:dyDescent="0.25">
      <c r="A3" s="3" t="s">
        <v>306</v>
      </c>
      <c r="B3" s="3"/>
      <c r="C3" s="3"/>
      <c r="D3" s="3"/>
      <c r="E3" s="3"/>
      <c r="F3" s="3"/>
      <c r="G3" s="3"/>
      <c r="H3" s="3"/>
    </row>
    <row r="4" spans="1:8" ht="27.75" customHeight="1" x14ac:dyDescent="0.25">
      <c r="A4" s="173" t="s">
        <v>307</v>
      </c>
      <c r="B4" s="2" t="s">
        <v>308</v>
      </c>
      <c r="C4" s="2"/>
      <c r="D4" s="2" t="s">
        <v>309</v>
      </c>
      <c r="E4" s="2"/>
      <c r="F4" s="173" t="s">
        <v>310</v>
      </c>
      <c r="G4" s="173" t="s">
        <v>311</v>
      </c>
      <c r="H4" s="173"/>
    </row>
    <row r="5" spans="1:8" ht="51.75" customHeight="1" x14ac:dyDescent="0.25">
      <c r="A5" s="174" t="s">
        <v>312</v>
      </c>
      <c r="B5" s="1" t="s">
        <v>313</v>
      </c>
      <c r="C5" s="1"/>
      <c r="D5" s="1" t="s">
        <v>314</v>
      </c>
      <c r="E5" s="1"/>
      <c r="F5" s="175" t="s">
        <v>315</v>
      </c>
      <c r="G5" s="176" t="s">
        <v>316</v>
      </c>
      <c r="H5" s="176"/>
    </row>
    <row r="6" spans="1:8" ht="51.75" customHeight="1" x14ac:dyDescent="0.25">
      <c r="A6" s="177" t="s">
        <v>317</v>
      </c>
      <c r="B6" s="192" t="s">
        <v>318</v>
      </c>
      <c r="C6" s="192"/>
      <c r="D6" s="192" t="s">
        <v>319</v>
      </c>
      <c r="E6" s="192"/>
      <c r="F6" s="178" t="s">
        <v>320</v>
      </c>
      <c r="G6" s="179" t="s">
        <v>321</v>
      </c>
      <c r="H6" s="179"/>
    </row>
    <row r="7" spans="1:8" ht="51.75" customHeight="1" x14ac:dyDescent="0.25">
      <c r="A7" s="177" t="s">
        <v>322</v>
      </c>
      <c r="B7" s="192" t="s">
        <v>323</v>
      </c>
      <c r="C7" s="192"/>
      <c r="D7" s="192" t="s">
        <v>324</v>
      </c>
      <c r="E7" s="192"/>
      <c r="F7" s="178" t="s">
        <v>315</v>
      </c>
      <c r="G7" s="179" t="s">
        <v>325</v>
      </c>
      <c r="H7" s="179"/>
    </row>
    <row r="8" spans="1:8" ht="51.75" customHeight="1" x14ac:dyDescent="0.25">
      <c r="A8" s="177" t="s">
        <v>326</v>
      </c>
      <c r="B8" s="192" t="s">
        <v>327</v>
      </c>
      <c r="C8" s="192"/>
      <c r="D8" s="192" t="s">
        <v>328</v>
      </c>
      <c r="E8" s="192"/>
      <c r="F8" s="178" t="s">
        <v>329</v>
      </c>
      <c r="G8" s="179" t="s">
        <v>330</v>
      </c>
      <c r="H8" s="179"/>
    </row>
    <row r="9" spans="1:8" ht="51.75" customHeight="1" x14ac:dyDescent="0.25">
      <c r="A9" s="177" t="s">
        <v>331</v>
      </c>
      <c r="B9" s="192" t="s">
        <v>332</v>
      </c>
      <c r="C9" s="192"/>
      <c r="D9" s="192" t="s">
        <v>333</v>
      </c>
      <c r="E9" s="192"/>
      <c r="F9" s="178" t="s">
        <v>334</v>
      </c>
      <c r="G9" s="179" t="s">
        <v>335</v>
      </c>
      <c r="H9" s="179"/>
    </row>
    <row r="10" spans="1:8" ht="51.75" customHeight="1" x14ac:dyDescent="0.25">
      <c r="A10" s="177" t="s">
        <v>336</v>
      </c>
      <c r="B10" s="192" t="s">
        <v>337</v>
      </c>
      <c r="C10" s="192"/>
      <c r="D10" s="192" t="s">
        <v>338</v>
      </c>
      <c r="E10" s="192"/>
      <c r="F10" s="178" t="s">
        <v>334</v>
      </c>
      <c r="G10" s="179" t="s">
        <v>339</v>
      </c>
      <c r="H10" s="179"/>
    </row>
    <row r="11" spans="1:8" ht="51.75" customHeight="1" x14ac:dyDescent="0.25">
      <c r="A11" s="177" t="s">
        <v>340</v>
      </c>
      <c r="B11" s="192" t="s">
        <v>341</v>
      </c>
      <c r="C11" s="192"/>
      <c r="D11" s="192" t="s">
        <v>342</v>
      </c>
      <c r="E11" s="192"/>
      <c r="F11" s="178" t="s">
        <v>315</v>
      </c>
      <c r="G11" s="179" t="s">
        <v>343</v>
      </c>
      <c r="H11" s="179"/>
    </row>
    <row r="12" spans="1:8" ht="51.75" customHeight="1" x14ac:dyDescent="0.25">
      <c r="A12" s="177" t="s">
        <v>344</v>
      </c>
      <c r="B12" s="192" t="s">
        <v>345</v>
      </c>
      <c r="C12" s="192"/>
      <c r="D12" s="192" t="s">
        <v>345</v>
      </c>
      <c r="E12" s="192"/>
      <c r="F12" s="178" t="s">
        <v>334</v>
      </c>
      <c r="G12" s="179" t="s">
        <v>346</v>
      </c>
      <c r="H12" s="179"/>
    </row>
    <row r="13" spans="1:8" ht="51.75" customHeight="1" x14ac:dyDescent="0.25">
      <c r="A13" s="177" t="s">
        <v>347</v>
      </c>
      <c r="B13" s="192" t="s">
        <v>348</v>
      </c>
      <c r="C13" s="192"/>
      <c r="D13" s="192" t="s">
        <v>349</v>
      </c>
      <c r="E13" s="192"/>
      <c r="F13" s="178" t="s">
        <v>334</v>
      </c>
      <c r="G13" s="179" t="s">
        <v>350</v>
      </c>
      <c r="H13" s="179"/>
    </row>
    <row r="14" spans="1:8" ht="51.75" customHeight="1" x14ac:dyDescent="0.25">
      <c r="A14" s="180" t="s">
        <v>351</v>
      </c>
      <c r="B14" s="193" t="s">
        <v>352</v>
      </c>
      <c r="C14" s="193"/>
      <c r="D14" s="193" t="s">
        <v>353</v>
      </c>
      <c r="E14" s="193"/>
      <c r="F14" s="181" t="s">
        <v>354</v>
      </c>
      <c r="G14" s="182" t="s">
        <v>355</v>
      </c>
      <c r="H14" s="182"/>
    </row>
    <row r="15" spans="1:8" ht="13.5" customHeight="1" x14ac:dyDescent="0.25">
      <c r="A15" s="61"/>
      <c r="B15" s="61"/>
      <c r="C15" s="61"/>
      <c r="D15" s="61"/>
      <c r="E15" s="61"/>
      <c r="F15" s="61"/>
      <c r="G15" s="61"/>
      <c r="H15" s="61"/>
    </row>
    <row r="16" spans="1:8" ht="13.5" customHeight="1" x14ac:dyDescent="0.25">
      <c r="A16" s="3" t="s">
        <v>356</v>
      </c>
      <c r="B16" s="3"/>
      <c r="C16" s="3"/>
      <c r="D16" s="3"/>
      <c r="E16" s="3"/>
      <c r="F16" s="3"/>
      <c r="G16" s="3"/>
      <c r="H16" s="3"/>
    </row>
  </sheetData>
  <mergeCells count="25">
    <mergeCell ref="A16:H16"/>
    <mergeCell ref="B12:C12"/>
    <mergeCell ref="D12:E12"/>
    <mergeCell ref="B13:C13"/>
    <mergeCell ref="D13:E13"/>
    <mergeCell ref="B14:C14"/>
    <mergeCell ref="D14:E14"/>
    <mergeCell ref="B9:C9"/>
    <mergeCell ref="D9:E9"/>
    <mergeCell ref="B10:C10"/>
    <mergeCell ref="D10:E10"/>
    <mergeCell ref="B11:C11"/>
    <mergeCell ref="D11:E11"/>
    <mergeCell ref="B6:C6"/>
    <mergeCell ref="D6:E6"/>
    <mergeCell ref="B7:C7"/>
    <mergeCell ref="D7:E7"/>
    <mergeCell ref="B8:C8"/>
    <mergeCell ref="D8:E8"/>
    <mergeCell ref="A2:H2"/>
    <mergeCell ref="A3:H3"/>
    <mergeCell ref="B4:C4"/>
    <mergeCell ref="D4:E4"/>
    <mergeCell ref="B5:C5"/>
    <mergeCell ref="D5:E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1"/>
  <sheetViews>
    <sheetView showGridLines="0" topLeftCell="A9" zoomScaleNormal="100" workbookViewId="0">
      <selection activeCell="C7" sqref="C7:C10"/>
    </sheetView>
  </sheetViews>
  <sheetFormatPr defaultColWidth="8.6328125" defaultRowHeight="13" x14ac:dyDescent="0.3"/>
  <cols>
    <col min="1" max="1" width="22.1796875" style="195" bestFit="1" customWidth="1"/>
    <col min="2" max="2" width="14" style="195" bestFit="1" customWidth="1"/>
    <col min="3" max="3" width="10.7265625" style="195" bestFit="1" customWidth="1"/>
    <col min="4" max="4" width="16.81640625" style="195" bestFit="1" customWidth="1"/>
    <col min="5" max="5" width="15.36328125" style="195" bestFit="1" customWidth="1"/>
    <col min="6" max="6" width="10.7265625" style="195" bestFit="1" customWidth="1"/>
    <col min="7" max="7" width="7.6328125" style="195" bestFit="1" customWidth="1"/>
    <col min="8" max="8" width="7.81640625" style="195" bestFit="1" customWidth="1"/>
    <col min="9" max="9" width="13.1796875" style="195" bestFit="1" customWidth="1"/>
    <col min="10" max="16384" width="8.6328125" style="195"/>
  </cols>
  <sheetData>
    <row r="1" spans="1:9" ht="12.75" customHeight="1" x14ac:dyDescent="0.3">
      <c r="A1" s="185"/>
      <c r="B1" s="185"/>
      <c r="C1" s="185"/>
      <c r="D1" s="185"/>
      <c r="E1" s="185"/>
      <c r="F1" s="185"/>
      <c r="G1" s="185"/>
      <c r="H1" s="185"/>
      <c r="I1" s="185"/>
    </row>
    <row r="2" spans="1:9" ht="18" customHeight="1" x14ac:dyDescent="0.3">
      <c r="A2" s="194" t="s">
        <v>357</v>
      </c>
      <c r="B2" s="194"/>
      <c r="C2" s="194"/>
      <c r="D2" s="183"/>
      <c r="E2" s="183"/>
      <c r="F2" s="183"/>
      <c r="G2" s="183"/>
      <c r="H2" s="183"/>
      <c r="I2" s="183"/>
    </row>
    <row r="3" spans="1:9" ht="12.75" customHeight="1" x14ac:dyDescent="0.3">
      <c r="A3" s="185" t="s">
        <v>358</v>
      </c>
      <c r="B3" s="196">
        <v>5000000</v>
      </c>
      <c r="C3" s="185"/>
      <c r="D3" s="185"/>
      <c r="E3" s="185"/>
      <c r="F3" s="185"/>
      <c r="G3" s="185"/>
      <c r="H3" s="185"/>
      <c r="I3" s="185"/>
    </row>
    <row r="4" spans="1:9" ht="12.75" customHeight="1" x14ac:dyDescent="0.3">
      <c r="A4" s="185" t="s">
        <v>359</v>
      </c>
      <c r="B4" s="197">
        <v>2026</v>
      </c>
      <c r="C4" s="185"/>
      <c r="D4" s="185"/>
      <c r="E4" s="185"/>
      <c r="F4" s="185"/>
      <c r="G4" s="185"/>
      <c r="H4" s="185"/>
      <c r="I4" s="185"/>
    </row>
    <row r="5" spans="1:9" ht="12.75" customHeight="1" x14ac:dyDescent="0.3">
      <c r="A5" s="185"/>
      <c r="B5" s="185"/>
      <c r="C5" s="185"/>
      <c r="D5" s="185"/>
      <c r="E5" s="185"/>
      <c r="F5" s="185"/>
      <c r="G5" s="185"/>
      <c r="H5" s="185"/>
      <c r="I5" s="185"/>
    </row>
    <row r="6" spans="1:9" ht="12.75" customHeight="1" x14ac:dyDescent="0.3">
      <c r="A6" s="185" t="s">
        <v>386</v>
      </c>
      <c r="C6" s="185"/>
      <c r="D6" s="185"/>
      <c r="E6" s="185"/>
      <c r="F6" s="185"/>
      <c r="G6" s="185"/>
      <c r="H6" s="185"/>
      <c r="I6" s="185"/>
    </row>
    <row r="7" spans="1:9" ht="12.75" customHeight="1" x14ac:dyDescent="0.3">
      <c r="A7" s="185" t="s">
        <v>388</v>
      </c>
      <c r="B7" s="198">
        <v>0.05</v>
      </c>
      <c r="C7" s="188">
        <f>B7*$B$3</f>
        <v>250000</v>
      </c>
      <c r="D7" s="185"/>
      <c r="E7" s="185"/>
      <c r="F7" s="185"/>
      <c r="G7" s="185"/>
      <c r="H7" s="185"/>
      <c r="I7" s="185"/>
    </row>
    <row r="8" spans="1:9" ht="12.75" customHeight="1" x14ac:dyDescent="0.3">
      <c r="A8" s="185" t="s">
        <v>387</v>
      </c>
      <c r="B8" s="198">
        <v>0.8</v>
      </c>
      <c r="C8" s="188">
        <f t="shared" ref="C8:C10" si="0">B8*$B$3</f>
        <v>4000000</v>
      </c>
      <c r="D8" s="185"/>
      <c r="E8" s="185"/>
      <c r="F8" s="185"/>
      <c r="G8" s="185"/>
      <c r="H8" s="185"/>
      <c r="I8" s="185"/>
    </row>
    <row r="9" spans="1:9" ht="12.75" customHeight="1" x14ac:dyDescent="0.3">
      <c r="A9" s="185" t="s">
        <v>389</v>
      </c>
      <c r="B9" s="198">
        <v>0.15</v>
      </c>
      <c r="C9" s="188">
        <f t="shared" si="0"/>
        <v>750000</v>
      </c>
      <c r="D9" s="185"/>
      <c r="E9" s="185"/>
      <c r="F9" s="185"/>
      <c r="G9" s="185"/>
      <c r="H9" s="185"/>
      <c r="I9" s="185"/>
    </row>
    <row r="10" spans="1:9" ht="12.75" customHeight="1" x14ac:dyDescent="0.3">
      <c r="A10" s="185" t="s">
        <v>390</v>
      </c>
      <c r="B10" s="186">
        <f>SUM(B7:B9)</f>
        <v>1</v>
      </c>
      <c r="C10" s="188">
        <f t="shared" si="0"/>
        <v>5000000</v>
      </c>
      <c r="D10" s="185"/>
      <c r="E10" s="185"/>
      <c r="F10" s="185"/>
      <c r="G10" s="185"/>
      <c r="H10" s="185"/>
      <c r="I10" s="185"/>
    </row>
    <row r="11" spans="1:9" ht="12.75" customHeight="1" x14ac:dyDescent="0.3">
      <c r="A11" s="185"/>
      <c r="B11" s="185"/>
      <c r="C11" s="185"/>
      <c r="D11" s="185"/>
      <c r="E11" s="185"/>
      <c r="F11" s="185"/>
      <c r="G11" s="185"/>
      <c r="H11" s="185"/>
      <c r="I11" s="185"/>
    </row>
    <row r="12" spans="1:9" ht="18" customHeight="1" x14ac:dyDescent="0.3">
      <c r="A12" s="194" t="s">
        <v>360</v>
      </c>
      <c r="B12" s="194"/>
      <c r="C12" s="194"/>
      <c r="D12" s="183"/>
      <c r="E12" s="183"/>
      <c r="F12" s="183"/>
      <c r="G12" s="183"/>
      <c r="H12" s="183"/>
      <c r="I12" s="183"/>
    </row>
    <row r="13" spans="1:9" ht="12.75" customHeight="1" x14ac:dyDescent="0.3">
      <c r="A13" s="184" t="s">
        <v>361</v>
      </c>
      <c r="B13" s="184" t="s">
        <v>362</v>
      </c>
      <c r="C13" s="184" t="s">
        <v>363</v>
      </c>
      <c r="D13" s="185"/>
      <c r="E13" s="185"/>
      <c r="F13" s="185"/>
      <c r="G13" s="185"/>
      <c r="H13" s="185"/>
      <c r="I13" s="185"/>
    </row>
    <row r="14" spans="1:9" ht="12.75" customHeight="1" x14ac:dyDescent="0.3">
      <c r="A14" s="185" t="s">
        <v>364</v>
      </c>
      <c r="B14" s="196">
        <v>60000</v>
      </c>
      <c r="C14" s="186">
        <v>0.25</v>
      </c>
      <c r="D14" s="185"/>
      <c r="E14" s="185"/>
      <c r="F14" s="185"/>
      <c r="G14" s="185"/>
      <c r="H14" s="185"/>
      <c r="I14" s="185"/>
    </row>
    <row r="15" spans="1:9" ht="12.75" customHeight="1" x14ac:dyDescent="0.3">
      <c r="A15" s="185" t="s">
        <v>365</v>
      </c>
      <c r="B15" s="196">
        <v>60000</v>
      </c>
      <c r="C15" s="186">
        <v>0.1</v>
      </c>
      <c r="D15" s="185"/>
      <c r="E15" s="185"/>
      <c r="F15" s="185"/>
      <c r="G15" s="185"/>
      <c r="H15" s="185"/>
      <c r="I15" s="185"/>
    </row>
    <row r="16" spans="1:9" ht="12.75" customHeight="1" x14ac:dyDescent="0.3">
      <c r="A16" s="185" t="s">
        <v>366</v>
      </c>
      <c r="B16" s="196">
        <v>90000</v>
      </c>
      <c r="C16" s="186">
        <v>0.05</v>
      </c>
      <c r="D16" s="185"/>
      <c r="E16" s="185"/>
      <c r="F16" s="185"/>
      <c r="G16" s="185"/>
      <c r="H16" s="185"/>
      <c r="I16" s="185"/>
    </row>
    <row r="17" spans="1:9" ht="12.75" customHeight="1" x14ac:dyDescent="0.3">
      <c r="A17" s="185" t="s">
        <v>367</v>
      </c>
      <c r="B17" s="196">
        <v>90000</v>
      </c>
      <c r="C17" s="186">
        <v>0.1</v>
      </c>
      <c r="D17" s="185"/>
      <c r="E17" s="185"/>
      <c r="F17" s="185"/>
      <c r="G17" s="185"/>
      <c r="H17" s="185"/>
      <c r="I17" s="185"/>
    </row>
    <row r="18" spans="1:9" ht="12.75" customHeight="1" x14ac:dyDescent="0.3">
      <c r="A18" s="185"/>
      <c r="B18" s="185"/>
      <c r="C18" s="185"/>
      <c r="D18" s="185"/>
      <c r="E18" s="185"/>
      <c r="F18" s="185"/>
      <c r="G18" s="185"/>
      <c r="H18" s="185"/>
      <c r="I18" s="185"/>
    </row>
    <row r="19" spans="1:9" ht="18" customHeight="1" x14ac:dyDescent="0.3">
      <c r="A19" s="194" t="s">
        <v>368</v>
      </c>
      <c r="B19" s="194"/>
      <c r="C19" s="194"/>
      <c r="D19" s="194"/>
      <c r="E19" s="194"/>
      <c r="F19" s="194"/>
      <c r="G19" s="194"/>
      <c r="H19" s="194"/>
      <c r="I19" s="194"/>
    </row>
    <row r="20" spans="1:9" ht="12.75" customHeight="1" x14ac:dyDescent="0.3">
      <c r="A20" s="184" t="s">
        <v>369</v>
      </c>
      <c r="B20" s="184" t="s">
        <v>361</v>
      </c>
      <c r="C20" s="184" t="s">
        <v>370</v>
      </c>
      <c r="D20" s="184" t="s">
        <v>371</v>
      </c>
      <c r="E20" s="184" t="s">
        <v>372</v>
      </c>
      <c r="F20" s="184" t="s">
        <v>363</v>
      </c>
      <c r="G20" s="184" t="s">
        <v>373</v>
      </c>
      <c r="H20" s="184" t="s">
        <v>374</v>
      </c>
      <c r="I20" s="184" t="s">
        <v>375</v>
      </c>
    </row>
    <row r="21" spans="1:9" ht="12.75" customHeight="1" x14ac:dyDescent="0.3">
      <c r="A21" s="187">
        <v>1</v>
      </c>
      <c r="B21" s="187" t="s">
        <v>364</v>
      </c>
      <c r="C21" s="197">
        <v>1</v>
      </c>
      <c r="D21" s="196">
        <v>200000</v>
      </c>
      <c r="E21" s="188">
        <f>IFERROR(INDEX($B$14:$B$17,MATCH(B21,$A$14:$A$17,0)),"")</f>
        <v>60000</v>
      </c>
      <c r="F21" s="189">
        <f>IFERROR(INDEX($C$14:$C$17,MATCH(B21,$A$14:$A$17,0)),"")</f>
        <v>0.25</v>
      </c>
      <c r="G21" s="185" t="str">
        <f>IF($C$8&gt;=D21,"Yes","No")</f>
        <v>Yes</v>
      </c>
      <c r="H21" s="190">
        <f>IF(AND(G21="Yes",$B$4&lt;&gt;""),$B$4,"")</f>
        <v>2026</v>
      </c>
      <c r="I21" s="185" t="s">
        <v>376</v>
      </c>
    </row>
    <row r="22" spans="1:9" ht="12.75" customHeight="1" x14ac:dyDescent="0.3">
      <c r="A22" s="187">
        <v>2</v>
      </c>
      <c r="B22" s="187" t="s">
        <v>366</v>
      </c>
      <c r="C22" s="197">
        <v>1</v>
      </c>
      <c r="D22" s="196">
        <v>300000</v>
      </c>
      <c r="E22" s="188">
        <f>IFERROR(INDEX($B$14:$B$17,MATCH(B22,$A$14:$A$17,0)),"")</f>
        <v>90000</v>
      </c>
      <c r="F22" s="189">
        <f>IFERROR(INDEX($C$14:$C$17,MATCH(B22,$A$14:$A$17,0)),"")</f>
        <v>0.05</v>
      </c>
      <c r="G22" s="185" t="str">
        <f>IF(AND($C$8&gt;=D22,G21="Yes"),"Yes","No")</f>
        <v>Yes</v>
      </c>
      <c r="H22" s="190">
        <f>IF(AND(G22="Yes",$B$4&lt;&gt;""),$B$4,"")</f>
        <v>2026</v>
      </c>
      <c r="I22" s="185" t="str">
        <f>IF(D22&gt;D21,"OK","CHECK")</f>
        <v>OK</v>
      </c>
    </row>
    <row r="23" spans="1:9" ht="12.75" customHeight="1" x14ac:dyDescent="0.3">
      <c r="A23" s="187">
        <v>3</v>
      </c>
      <c r="B23" s="187" t="s">
        <v>367</v>
      </c>
      <c r="C23" s="197">
        <v>1</v>
      </c>
      <c r="D23" s="196">
        <v>600000</v>
      </c>
      <c r="E23" s="188">
        <f>IFERROR(INDEX($B$14:$B$17,MATCH(B23,$A$14:$A$17,0)),"")</f>
        <v>90000</v>
      </c>
      <c r="F23" s="189">
        <f>IFERROR(INDEX($C$14:$C$17,MATCH(B23,$A$14:$A$17,0)),"")</f>
        <v>0.1</v>
      </c>
      <c r="G23" s="185" t="str">
        <f>IF(AND($C$8&gt;=D23,G22="Yes"),"Yes","No")</f>
        <v>Yes</v>
      </c>
      <c r="H23" s="190">
        <f>IF(AND(G23="Yes",$B$4&lt;&gt;""),$B$4,"")</f>
        <v>2026</v>
      </c>
      <c r="I23" s="185" t="str">
        <f>IF(D23&gt;D22,"OK","CHECK")</f>
        <v>OK</v>
      </c>
    </row>
    <row r="24" spans="1:9" ht="12.75" customHeight="1" x14ac:dyDescent="0.3">
      <c r="A24" s="187">
        <v>4</v>
      </c>
      <c r="B24" s="187" t="s">
        <v>366</v>
      </c>
      <c r="C24" s="197">
        <v>1</v>
      </c>
      <c r="D24" s="196">
        <v>900000</v>
      </c>
      <c r="E24" s="188">
        <f>IFERROR(INDEX($B$14:$B$17,MATCH(B24,$A$14:$A$17,0)),"")</f>
        <v>90000</v>
      </c>
      <c r="F24" s="189">
        <f>IFERROR(INDEX($C$14:$C$17,MATCH(B24,$A$14:$A$17,0)),"")</f>
        <v>0.05</v>
      </c>
      <c r="G24" s="185" t="str">
        <f>IF(AND($C$8&gt;=D24,G23="Yes"),"Yes","No")</f>
        <v>Yes</v>
      </c>
      <c r="H24" s="190">
        <f>IF(AND(G24="Yes",$B$4&lt;&gt;""),$B$4,"")</f>
        <v>2026</v>
      </c>
      <c r="I24" s="185" t="str">
        <f>IF(D24&gt;D23,"OK","CHECK")</f>
        <v>OK</v>
      </c>
    </row>
    <row r="25" spans="1:9" ht="12.75" customHeight="1" x14ac:dyDescent="0.3">
      <c r="A25" s="187">
        <v>5</v>
      </c>
      <c r="B25" s="187" t="s">
        <v>365</v>
      </c>
      <c r="C25" s="197">
        <v>1</v>
      </c>
      <c r="D25" s="196">
        <v>1200000</v>
      </c>
      <c r="E25" s="188">
        <f>IFERROR(INDEX($B$14:$B$17,MATCH(B25,$A$14:$A$17,0)),"")</f>
        <v>60000</v>
      </c>
      <c r="F25" s="189">
        <f>IFERROR(INDEX($C$14:$C$17,MATCH(B25,$A$14:$A$17,0)),"")</f>
        <v>0.1</v>
      </c>
      <c r="G25" s="185" t="str">
        <f>IF(AND($C$8&gt;=D25,G24="Yes"),"Yes","No")</f>
        <v>Yes</v>
      </c>
      <c r="H25" s="190">
        <f>IF(AND(G25="Yes",$B$4&lt;&gt;""),$B$4,"")</f>
        <v>2026</v>
      </c>
      <c r="I25" s="185" t="str">
        <f>IF(D25&gt;D24,"OK","CHECK")</f>
        <v>OK</v>
      </c>
    </row>
    <row r="26" spans="1:9" ht="12.75" customHeight="1" x14ac:dyDescent="0.3">
      <c r="A26" s="185"/>
      <c r="B26" s="185"/>
      <c r="C26" s="185"/>
      <c r="D26" s="185"/>
      <c r="E26" s="185"/>
      <c r="F26" s="185"/>
      <c r="G26" s="185"/>
      <c r="H26" s="185"/>
      <c r="I26" s="185"/>
    </row>
    <row r="27" spans="1:9" ht="21.75" customHeight="1" x14ac:dyDescent="0.3">
      <c r="A27" s="199" t="s">
        <v>377</v>
      </c>
      <c r="B27" s="199"/>
      <c r="C27" s="199"/>
      <c r="D27" s="199"/>
      <c r="E27" s="199"/>
      <c r="F27" s="199"/>
      <c r="G27" s="199"/>
      <c r="H27" s="199"/>
      <c r="I27" s="199"/>
    </row>
    <row r="28" spans="1:9" ht="21.75" customHeight="1" x14ac:dyDescent="0.3">
      <c r="A28" s="199"/>
      <c r="B28" s="199"/>
      <c r="C28" s="199"/>
      <c r="D28" s="199"/>
      <c r="E28" s="199"/>
      <c r="F28" s="199"/>
      <c r="G28" s="199"/>
      <c r="H28" s="199"/>
      <c r="I28" s="199"/>
    </row>
    <row r="29" spans="1:9" ht="12.75" customHeight="1" x14ac:dyDescent="0.3">
      <c r="A29" s="185"/>
      <c r="B29" s="185"/>
      <c r="C29" s="185"/>
      <c r="D29" s="185"/>
      <c r="E29" s="185"/>
      <c r="F29" s="185"/>
      <c r="G29" s="185"/>
      <c r="H29" s="185"/>
      <c r="I29" s="185"/>
    </row>
    <row r="30" spans="1:9" ht="18" customHeight="1" x14ac:dyDescent="0.3">
      <c r="A30" s="194" t="s">
        <v>378</v>
      </c>
      <c r="B30" s="194"/>
      <c r="C30" s="194"/>
      <c r="D30" s="194"/>
      <c r="E30" s="194"/>
      <c r="F30" s="194"/>
      <c r="G30" s="194"/>
      <c r="H30" s="200"/>
      <c r="I30" s="200"/>
    </row>
    <row r="31" spans="1:9" ht="12.75" customHeight="1" x14ac:dyDescent="0.3">
      <c r="A31" s="185"/>
      <c r="B31" s="184" t="s">
        <v>379</v>
      </c>
      <c r="C31" s="184" t="s">
        <v>6</v>
      </c>
      <c r="D31" s="184" t="s">
        <v>7</v>
      </c>
      <c r="E31" s="184" t="s">
        <v>8</v>
      </c>
      <c r="F31" s="184" t="s">
        <v>9</v>
      </c>
      <c r="G31" s="184" t="s">
        <v>10</v>
      </c>
      <c r="H31" s="185"/>
      <c r="I31" s="185"/>
    </row>
    <row r="32" spans="1:9" ht="12.75" customHeight="1" x14ac:dyDescent="0.3">
      <c r="A32" s="185"/>
      <c r="B32" s="191">
        <v>2026</v>
      </c>
      <c r="C32" s="191">
        <v>2027</v>
      </c>
      <c r="D32" s="191">
        <v>2028</v>
      </c>
      <c r="E32" s="191">
        <v>2029</v>
      </c>
      <c r="F32" s="191">
        <v>2030</v>
      </c>
      <c r="G32" s="191">
        <v>2031</v>
      </c>
      <c r="H32" s="185"/>
      <c r="I32" s="185"/>
    </row>
    <row r="33" spans="1:9" ht="12.75" customHeight="1" x14ac:dyDescent="0.3">
      <c r="A33" s="201" t="s">
        <v>380</v>
      </c>
      <c r="B33" s="201"/>
      <c r="C33" s="201"/>
      <c r="D33" s="201"/>
      <c r="E33" s="201"/>
      <c r="F33" s="201"/>
      <c r="G33" s="184"/>
      <c r="H33" s="200"/>
      <c r="I33" s="200"/>
    </row>
    <row r="34" spans="1:9" ht="12.75" customHeight="1" x14ac:dyDescent="0.3">
      <c r="A34" s="185" t="s">
        <v>364</v>
      </c>
      <c r="B34" s="202">
        <f t="shared" ref="B34:G34" si="1">IF(AND($G$21="Yes",$H$21&lt;=B$32),$C$21,0)</f>
        <v>1</v>
      </c>
      <c r="C34" s="202">
        <f t="shared" si="1"/>
        <v>1</v>
      </c>
      <c r="D34" s="202">
        <f t="shared" si="1"/>
        <v>1</v>
      </c>
      <c r="E34" s="202">
        <f t="shared" si="1"/>
        <v>1</v>
      </c>
      <c r="F34" s="202">
        <f t="shared" si="1"/>
        <v>1</v>
      </c>
      <c r="G34" s="202">
        <f t="shared" si="1"/>
        <v>1</v>
      </c>
      <c r="H34" s="185"/>
      <c r="I34" s="185"/>
    </row>
    <row r="35" spans="1:9" ht="12.75" customHeight="1" x14ac:dyDescent="0.3">
      <c r="A35" s="185" t="s">
        <v>381</v>
      </c>
      <c r="B35" s="202">
        <f t="shared" ref="B35:G35" si="2">IF(AND($G$22="Yes",$H$22&lt;=B$32),$C$22,0)+IF(AND($G$24="Yes",$H$24&lt;=B$32),$C$24,0)</f>
        <v>2</v>
      </c>
      <c r="C35" s="202">
        <f t="shared" si="2"/>
        <v>2</v>
      </c>
      <c r="D35" s="202">
        <f t="shared" si="2"/>
        <v>2</v>
      </c>
      <c r="E35" s="202">
        <f t="shared" si="2"/>
        <v>2</v>
      </c>
      <c r="F35" s="202">
        <f t="shared" si="2"/>
        <v>2</v>
      </c>
      <c r="G35" s="202">
        <f t="shared" si="2"/>
        <v>2</v>
      </c>
      <c r="H35" s="185"/>
      <c r="I35" s="185"/>
    </row>
    <row r="36" spans="1:9" ht="12.75" customHeight="1" x14ac:dyDescent="0.3">
      <c r="A36" s="185" t="s">
        <v>367</v>
      </c>
      <c r="B36" s="202">
        <f t="shared" ref="B36:G36" si="3">IF(AND($G$23="Yes",$H$23&lt;=B$32),$C$23,0)</f>
        <v>1</v>
      </c>
      <c r="C36" s="202">
        <f t="shared" si="3"/>
        <v>1</v>
      </c>
      <c r="D36" s="202">
        <f t="shared" si="3"/>
        <v>1</v>
      </c>
      <c r="E36" s="202">
        <f t="shared" si="3"/>
        <v>1</v>
      </c>
      <c r="F36" s="202">
        <f t="shared" si="3"/>
        <v>1</v>
      </c>
      <c r="G36" s="202">
        <f t="shared" si="3"/>
        <v>1</v>
      </c>
      <c r="H36" s="185"/>
      <c r="I36" s="185"/>
    </row>
    <row r="37" spans="1:9" ht="12.75" customHeight="1" x14ac:dyDescent="0.3">
      <c r="A37" s="185" t="s">
        <v>365</v>
      </c>
      <c r="B37" s="202">
        <f t="shared" ref="B37:G37" si="4">IF(AND($G$25="Yes",$H$25&lt;=B$32),$C$25,0)</f>
        <v>1</v>
      </c>
      <c r="C37" s="202">
        <f t="shared" si="4"/>
        <v>1</v>
      </c>
      <c r="D37" s="202">
        <f t="shared" si="4"/>
        <v>1</v>
      </c>
      <c r="E37" s="202">
        <f t="shared" si="4"/>
        <v>1</v>
      </c>
      <c r="F37" s="202">
        <f t="shared" si="4"/>
        <v>1</v>
      </c>
      <c r="G37" s="202">
        <f t="shared" si="4"/>
        <v>1</v>
      </c>
      <c r="H37" s="185"/>
      <c r="I37" s="185"/>
    </row>
    <row r="38" spans="1:9" ht="12.75" customHeight="1" x14ac:dyDescent="0.3">
      <c r="A38" s="203" t="s">
        <v>382</v>
      </c>
      <c r="B38" s="204">
        <f t="shared" ref="B38:G38" si="5">SUM(B34:B37)</f>
        <v>5</v>
      </c>
      <c r="C38" s="204">
        <f t="shared" si="5"/>
        <v>5</v>
      </c>
      <c r="D38" s="204">
        <f t="shared" si="5"/>
        <v>5</v>
      </c>
      <c r="E38" s="204">
        <f t="shared" si="5"/>
        <v>5</v>
      </c>
      <c r="F38" s="204">
        <f t="shared" si="5"/>
        <v>5</v>
      </c>
      <c r="G38" s="205">
        <f t="shared" si="5"/>
        <v>5</v>
      </c>
      <c r="H38" s="185"/>
      <c r="I38" s="185"/>
    </row>
    <row r="39" spans="1:9" ht="12.75" customHeight="1" x14ac:dyDescent="0.3">
      <c r="A39" s="185"/>
      <c r="B39" s="185"/>
      <c r="C39" s="185"/>
      <c r="D39" s="185"/>
      <c r="E39" s="185"/>
      <c r="F39" s="185"/>
      <c r="G39" s="185"/>
      <c r="H39" s="185"/>
      <c r="I39" s="185"/>
    </row>
    <row r="40" spans="1:9" ht="12.75" customHeight="1" x14ac:dyDescent="0.3">
      <c r="A40" s="201" t="s">
        <v>383</v>
      </c>
      <c r="B40" s="201"/>
      <c r="C40" s="201"/>
      <c r="D40" s="201"/>
      <c r="E40" s="201"/>
      <c r="F40" s="201"/>
      <c r="G40" s="184"/>
      <c r="H40" s="200"/>
      <c r="I40" s="200"/>
    </row>
    <row r="41" spans="1:9" ht="12.75" customHeight="1" x14ac:dyDescent="0.3">
      <c r="A41" s="185" t="s">
        <v>364</v>
      </c>
      <c r="B41" s="188">
        <f t="shared" ref="B41:G41" si="6">IF(AND($G$21="Yes",$H$21&lt;=B$32),$C$21*$E$21*(1+$F$21)^(B$32-$H$21),0)</f>
        <v>60000</v>
      </c>
      <c r="C41" s="188">
        <f t="shared" si="6"/>
        <v>75000</v>
      </c>
      <c r="D41" s="188">
        <f t="shared" si="6"/>
        <v>93750</v>
      </c>
      <c r="E41" s="188">
        <f t="shared" si="6"/>
        <v>117187.5</v>
      </c>
      <c r="F41" s="188">
        <f t="shared" si="6"/>
        <v>146484.375</v>
      </c>
      <c r="G41" s="188">
        <f t="shared" si="6"/>
        <v>183105.46875</v>
      </c>
      <c r="H41" s="185"/>
      <c r="I41" s="185"/>
    </row>
    <row r="42" spans="1:9" ht="12.75" customHeight="1" x14ac:dyDescent="0.3">
      <c r="A42" s="185" t="s">
        <v>381</v>
      </c>
      <c r="B42" s="188">
        <f t="shared" ref="B42:G42" si="7">IF(AND($G$22="Yes",$H$22&lt;=B$32),$C$22*$E$22*(1+$F$22)^(B$32-$H$22),0)+IF(AND($G$24="Yes",$H$24&lt;=B$32),$C$24*$E$24*(1+$F$24)^(B$32-$H$24),0)</f>
        <v>180000</v>
      </c>
      <c r="C42" s="188">
        <f t="shared" si="7"/>
        <v>189000</v>
      </c>
      <c r="D42" s="188">
        <f t="shared" si="7"/>
        <v>198450</v>
      </c>
      <c r="E42" s="188">
        <f t="shared" si="7"/>
        <v>208372.50000000003</v>
      </c>
      <c r="F42" s="188">
        <f t="shared" si="7"/>
        <v>218791.125</v>
      </c>
      <c r="G42" s="188">
        <f t="shared" si="7"/>
        <v>229730.68125000002</v>
      </c>
      <c r="H42" s="185"/>
      <c r="I42" s="185"/>
    </row>
    <row r="43" spans="1:9" ht="12.75" customHeight="1" x14ac:dyDescent="0.3">
      <c r="A43" s="185" t="s">
        <v>367</v>
      </c>
      <c r="B43" s="188">
        <f t="shared" ref="B43:G43" si="8">IF(AND($G$23="Yes",$H$23&lt;=B$32),$C$23*$E$23*(1+$F$23)^(B$32-$H$23),0)</f>
        <v>90000</v>
      </c>
      <c r="C43" s="188">
        <f t="shared" si="8"/>
        <v>99000.000000000015</v>
      </c>
      <c r="D43" s="188">
        <f t="shared" si="8"/>
        <v>108900.00000000001</v>
      </c>
      <c r="E43" s="188">
        <f t="shared" si="8"/>
        <v>119790.00000000004</v>
      </c>
      <c r="F43" s="188">
        <f t="shared" si="8"/>
        <v>131769.00000000003</v>
      </c>
      <c r="G43" s="188">
        <f t="shared" si="8"/>
        <v>144945.90000000005</v>
      </c>
      <c r="H43" s="185"/>
      <c r="I43" s="185"/>
    </row>
    <row r="44" spans="1:9" ht="12.75" customHeight="1" x14ac:dyDescent="0.3">
      <c r="A44" s="185" t="s">
        <v>365</v>
      </c>
      <c r="B44" s="188">
        <f t="shared" ref="B44:G44" si="9">IF(AND($G$25="Yes",$H$25&lt;=B$32),$C$25*$E$25*(1+$F$25)^(B$32-$H$25),0)</f>
        <v>60000</v>
      </c>
      <c r="C44" s="188">
        <f t="shared" si="9"/>
        <v>66000</v>
      </c>
      <c r="D44" s="188">
        <f t="shared" si="9"/>
        <v>72600.000000000015</v>
      </c>
      <c r="E44" s="188">
        <f t="shared" si="9"/>
        <v>79860.000000000029</v>
      </c>
      <c r="F44" s="188">
        <f t="shared" si="9"/>
        <v>87846.000000000029</v>
      </c>
      <c r="G44" s="188">
        <f t="shared" si="9"/>
        <v>96630.600000000035</v>
      </c>
      <c r="H44" s="185"/>
      <c r="I44" s="185"/>
    </row>
    <row r="45" spans="1:9" ht="12.75" customHeight="1" x14ac:dyDescent="0.3">
      <c r="A45" s="203" t="s">
        <v>232</v>
      </c>
      <c r="B45" s="206">
        <f t="shared" ref="B45:G45" si="10">SUM(B41:B44)</f>
        <v>390000</v>
      </c>
      <c r="C45" s="206">
        <f t="shared" si="10"/>
        <v>429000</v>
      </c>
      <c r="D45" s="206">
        <f t="shared" si="10"/>
        <v>473700</v>
      </c>
      <c r="E45" s="206">
        <f t="shared" si="10"/>
        <v>525210.00000000012</v>
      </c>
      <c r="F45" s="206">
        <f t="shared" si="10"/>
        <v>584890.5</v>
      </c>
      <c r="G45" s="207">
        <f t="shared" si="10"/>
        <v>654412.65000000014</v>
      </c>
      <c r="H45" s="185"/>
      <c r="I45" s="185"/>
    </row>
    <row r="46" spans="1:9" ht="12.75" customHeight="1" x14ac:dyDescent="0.3">
      <c r="A46" s="185"/>
      <c r="B46" s="185"/>
      <c r="C46" s="185"/>
      <c r="D46" s="185"/>
      <c r="E46" s="185"/>
      <c r="F46" s="185"/>
      <c r="G46" s="185"/>
      <c r="H46" s="185"/>
      <c r="I46" s="185"/>
    </row>
    <row r="47" spans="1:9" ht="12.75" customHeight="1" x14ac:dyDescent="0.3">
      <c r="A47" s="201" t="s">
        <v>384</v>
      </c>
      <c r="B47" s="201"/>
      <c r="C47" s="201"/>
      <c r="D47" s="201"/>
      <c r="E47" s="201"/>
      <c r="F47" s="201"/>
      <c r="G47" s="184"/>
      <c r="H47" s="200"/>
      <c r="I47" s="200"/>
    </row>
    <row r="48" spans="1:9" ht="12.75" customHeight="1" x14ac:dyDescent="0.3">
      <c r="A48" s="208" t="s">
        <v>385</v>
      </c>
      <c r="B48" s="205">
        <f t="shared" ref="B48:G48" si="11">IF($H$21=B$32,$C$21,0)+IF($H$22=B$32,$C$22,0)+IF($H$23=B$32,$C$23,0)+IF($H$24=B$32,$C$24,0)+IF($H$25=B$32,$C$25,0)</f>
        <v>5</v>
      </c>
      <c r="C48" s="205">
        <f t="shared" si="11"/>
        <v>0</v>
      </c>
      <c r="D48" s="205">
        <f t="shared" si="11"/>
        <v>0</v>
      </c>
      <c r="E48" s="205">
        <f t="shared" si="11"/>
        <v>0</v>
      </c>
      <c r="F48" s="205">
        <f t="shared" si="11"/>
        <v>0</v>
      </c>
      <c r="G48" s="205">
        <f t="shared" si="11"/>
        <v>0</v>
      </c>
      <c r="H48" s="185"/>
      <c r="I48" s="185"/>
    </row>
    <row r="49" spans="1:9" ht="12.75" customHeight="1" x14ac:dyDescent="0.3">
      <c r="A49" s="209"/>
      <c r="B49" s="209"/>
      <c r="C49" s="209"/>
      <c r="D49" s="209"/>
      <c r="E49" s="209"/>
      <c r="F49" s="209"/>
      <c r="G49" s="209"/>
      <c r="H49" s="209"/>
      <c r="I49" s="209"/>
    </row>
    <row r="50" spans="1:9" ht="12.75" customHeight="1" x14ac:dyDescent="0.3">
      <c r="A50" s="209"/>
      <c r="B50" s="209"/>
      <c r="C50" s="209"/>
      <c r="D50" s="209"/>
      <c r="E50" s="209"/>
      <c r="F50" s="209"/>
      <c r="G50" s="209"/>
      <c r="H50" s="209"/>
      <c r="I50" s="209"/>
    </row>
    <row r="51" spans="1:9" ht="12.75" customHeight="1" x14ac:dyDescent="0.3">
      <c r="A51" s="209"/>
      <c r="B51" s="209"/>
      <c r="C51" s="209"/>
      <c r="D51" s="209"/>
      <c r="E51" s="209"/>
      <c r="F51" s="209"/>
      <c r="G51" s="209"/>
      <c r="H51" s="209"/>
      <c r="I51" s="209"/>
    </row>
  </sheetData>
  <mergeCells count="5">
    <mergeCell ref="A2:C2"/>
    <mergeCell ref="A12:C12"/>
    <mergeCell ref="A19:I19"/>
    <mergeCell ref="A27:I28"/>
    <mergeCell ref="A30:G30"/>
  </mergeCells>
  <conditionalFormatting sqref="G21:G25">
    <cfRule type="containsText" dxfId="3" priority="2" operator="containsText" text="Yes">
      <formula>NOT(ISERROR(SEARCH("Yes",G21)))</formula>
    </cfRule>
    <cfRule type="containsText" dxfId="2" priority="3" operator="containsText" text="No">
      <formula>NOT(ISERROR(SEARCH("No",G21)))</formula>
    </cfRule>
  </conditionalFormatting>
  <conditionalFormatting sqref="I21:I25">
    <cfRule type="containsText" dxfId="1" priority="4" operator="containsText" text="OK">
      <formula>NOT(ISERROR(SEARCH("OK",I21)))</formula>
    </cfRule>
    <cfRule type="containsText" dxfId="0" priority="5" operator="containsText" text="CHECK">
      <formula>NOT(ISERROR(SEARCH("CHECK",I21)))</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 IS</vt:lpstr>
      <vt:lpstr>Revenue_T</vt:lpstr>
      <vt:lpstr>Revenue_B</vt:lpstr>
      <vt:lpstr>Expenses_Y</vt:lpstr>
      <vt:lpstr>Checks</vt:lpstr>
      <vt:lpstr>Comparable Companies</vt:lpstr>
      <vt:lpstr>Seed Raise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Karthik Chendika</cp:lastModifiedBy>
  <cp:revision>0</cp:revision>
  <dcterms:created xsi:type="dcterms:W3CDTF">2026-09-04T20:29:44Z</dcterms:created>
  <dcterms:modified xsi:type="dcterms:W3CDTF">2026-09-04T21:12:07Z</dcterms:modified>
  <dc:language>en-US</dc:language>
</cp:coreProperties>
</file>